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Master_Brands" sheetId="1" state="visible" r:id="rId1"/>
    <sheet xmlns:r="http://schemas.openxmlformats.org/officeDocument/2006/relationships" name="01b_Companies" sheetId="2" state="visible" r:id="rId2"/>
    <sheet xmlns:r="http://schemas.openxmlformats.org/officeDocument/2006/relationships" name="02_Campaigns" sheetId="3" state="visible" r:id="rId3"/>
    <sheet xmlns:r="http://schemas.openxmlformats.org/officeDocument/2006/relationships" name="03_Evidence_Sources" sheetId="4" state="visible" r:id="rId4"/>
    <sheet xmlns:r="http://schemas.openxmlformats.org/officeDocument/2006/relationships" name="04_Channel_Analysis" sheetId="5" state="visible" r:id="rId5"/>
    <sheet xmlns:r="http://schemas.openxmlformats.org/officeDocument/2006/relationships" name="05_Creative_Analysis" sheetId="6" state="visible" r:id="rId6"/>
    <sheet xmlns:r="http://schemas.openxmlformats.org/officeDocument/2006/relationships" name="06_Agencies_Partners" sheetId="7" state="visible" r:id="rId7"/>
    <sheet xmlns:r="http://schemas.openxmlformats.org/officeDocument/2006/relationships" name="07_Brand_Coverage" sheetId="8" state="visible" r:id="rId8"/>
    <sheet xmlns:r="http://schemas.openxmlformats.org/officeDocument/2006/relationships" name="08_Executive_Dashboard" sheetId="9" state="visible" r:id="rId9"/>
    <sheet xmlns:r="http://schemas.openxmlformats.org/officeDocument/2006/relationships" name="09_Research_Methodology" sheetId="10" state="visible" r:id="rId10"/>
    <sheet xmlns:r="http://schemas.openxmlformats.org/officeDocument/2006/relationships" name="10_Phase2_Log" sheetId="11" state="visible" r:id="rId11"/>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Tahoma"/>
      <b val="1"/>
      <color rgb="00FFFFFF"/>
      <sz val="10"/>
    </font>
    <font>
      <name val="Tahoma"/>
      <sz val="9"/>
    </font>
    <font>
      <name val="Tahoma"/>
      <color rgb="000563C1"/>
      <sz val="9"/>
      <u val="single"/>
    </font>
    <font>
      <name val="Tahoma"/>
      <b val="1"/>
    </font>
    <font>
      <name val="Tahoma"/>
      <b val="1"/>
      <sz val="14"/>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164"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1" fillId="2" borderId="0" pivotButton="0" quotePrefix="0" xfId="0"/>
    <xf numFmtId="0" fontId="1" fillId="2" borderId="0" applyAlignment="1" pivotButton="0" quotePrefix="0" xfId="0">
      <alignment wrapText="1"/>
    </xf>
    <xf numFmtId="0" fontId="2"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کمپین/رویداد مستند بر حسب دسته</a:t>
            </a:r>
          </a:p>
        </rich>
      </tx>
    </title>
    <plotArea>
      <barChart>
        <barDir val="bar"/>
        <grouping val="clustered"/>
        <ser>
          <idx val="0"/>
          <order val="0"/>
          <spPr>
            <a:ln xmlns:a="http://schemas.openxmlformats.org/drawingml/2006/main">
              <a:prstDash val="solid"/>
            </a:ln>
          </spPr>
          <cat>
            <numRef>
              <f>'08_Executive_Dashboard'!$A$22:$A$24</f>
            </numRef>
          </cat>
          <val>
            <numRef>
              <f>'08_Executive_Dashboard'!$B$22:$B$24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برندهای پرفعالیت (کمپین/رویداد مستند)</a:t>
            </a:r>
          </a:p>
        </rich>
      </tx>
    </title>
    <plotArea>
      <barChart>
        <barDir val="bar"/>
        <grouping val="clustered"/>
        <ser>
          <idx val="0"/>
          <order val="0"/>
          <spPr>
            <a:ln xmlns:a="http://schemas.openxmlformats.org/drawingml/2006/main">
              <a:prstDash val="solid"/>
            </a:ln>
          </spPr>
          <cat>
            <numRef>
              <f>'08_Executive_Dashboard'!$A$28:$A$39</f>
            </numRef>
          </cat>
          <val>
            <numRef>
              <f>'08_Executive_Dashboard'!$B$28:$B$39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رکوردها بر حسب نوع</a:t>
            </a:r>
          </a:p>
        </rich>
      </tx>
    </title>
    <plotArea>
      <barChart>
        <barDir val="col"/>
        <grouping val="clustered"/>
        <ser>
          <idx val="0"/>
          <order val="0"/>
          <spPr>
            <a:ln xmlns:a="http://schemas.openxmlformats.org/drawingml/2006/main">
              <a:prstDash val="solid"/>
            </a:ln>
          </spPr>
          <cat>
            <numRef>
              <f>'08_Executive_Dashboard'!$A$43:$A$46</f>
            </numRef>
          </cat>
          <val>
            <numRef>
              <f>'08_Executive_Dashboard'!$B$43:$B$46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3</col>
      <colOff>0</colOff>
      <row>3</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19</row>
      <rowOff>0</rowOff>
    </from>
    <ext cx="504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3</col>
      <colOff>0</colOff>
      <row>38</row>
      <rowOff>0</rowOff>
    </from>
    <ext cx="504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_MasterBrands" displayName="T_MasterBrands" ref="A1:M48" headerRowCount="1">
  <autoFilter ref="A1:M48"/>
  <tableColumns count="13">
    <tableColumn id="1" name="Brand_ID"/>
    <tableColumn id="2" name="برند"/>
    <tableColumn id="3" name="کشور مبدأ"/>
    <tableColumn id="4" name="دسته بازار"/>
    <tableColumn id="5" name="Company_IDs"/>
    <tableColumn id="6" name="شرکت(های) مرتبط"/>
    <tableColumn id="7" name="عرضه‌کننده در ایران"/>
    <tableColumn id="8" name="مدل‌های مرتبط"/>
    <tableColumn id="9" name="وضعیت فعالیت در بازه"/>
    <tableColumn id="10" name="شواهد فعالیت (Evidence_ID)"/>
    <tableColumn id="11" name="وضعیت بررسی تبلیغات"/>
    <tableColumn id="12" name="تعداد کمپین/رویداد مستند"/>
    <tableColumn id="13" name="تعداد طرح فروش ثبت‌شده"/>
  </tableColumns>
  <tableStyleInfo name="TableStyleLight9" showRowStripes="1"/>
</table>
</file>

<file path=xl/tables/table2.xml><?xml version="1.0" encoding="utf-8"?>
<table xmlns="http://schemas.openxmlformats.org/spreadsheetml/2006/main" id="2" name="T_Companies" displayName="T_Companies" ref="A1:F25" headerRowCount="1">
  <autoFilter ref="A1:F25"/>
  <tableColumns count="6">
    <tableColumn id="1" name="Company_ID"/>
    <tableColumn id="2" name="نام شرکت"/>
    <tableColumn id="3" name="English"/>
    <tableColumn id="4" name="نقش"/>
    <tableColumn id="5" name="دسته"/>
    <tableColumn id="6" name="برندهای مرتبط"/>
  </tableColumns>
  <tableStyleInfo name="TableStyleLight9" showRowStripes="1"/>
</table>
</file>

<file path=xl/tables/table3.xml><?xml version="1.0" encoding="utf-8"?>
<table xmlns="http://schemas.openxmlformats.org/spreadsheetml/2006/main" id="3" name="T_Campaigns" displayName="T_Campaigns" ref="A1:AC55" headerRowCount="1">
  <autoFilter ref="A1:AC55"/>
  <tableColumns count="29">
    <tableColumn id="1" name="Campaign_ID"/>
    <tableColumn id="2" name="نوع رکورد"/>
    <tableColumn id="3" name="دسته کمپین"/>
    <tableColumn id="4" name="Brand_IDs"/>
    <tableColumn id="5" name="برند"/>
    <tableColumn id="6" name="شرکت اجراکننده/سفارش‌دهنده"/>
    <tableColumn id="7" name="نام/عنوان توصیفی"/>
    <tableColumn id="8" name="شعار و پیام"/>
    <tableColumn id="9" name="هدف بازاریابی"/>
    <tableColumn id="10" name="مخاطب هدف"/>
    <tableColumn id="11" name="محصول/مدل"/>
    <tableColumn id="12" name="تاریخ شروع (میلادی)"/>
    <tableColumn id="13" name="تاریخ پایان (میلادی)"/>
    <tableColumn id="14" name="بازه اجرا (شمسی، طبق منبع)"/>
    <tableColumn id="15" name="تاریخ انتشار شواهد (اولین/آخرین)"/>
    <tableColumn id="16" name="جغرافیا"/>
    <tableColumn id="17" name="کانال‌ها"/>
    <tableColumn id="18" name="ایده خلاقه"/>
    <tableColumn id="19" name="فرمت محتوا"/>
    <tableColumn id="20" name="نوع پیشنهاد فروش"/>
    <tableColumn id="21" name="آژانس/مجری"/>
    <tableColumn id="22" name="Evidence_IDs"/>
    <tableColumn id="23" name="لینک شاهد اصلی"/>
    <tableColumn id="24" name="لینک تصویر/ویدئو"/>
    <tableColumn id="25" name="منبع و تاریخ دسترسی"/>
    <tableColumn id="26" name="وضعیت تأیید"/>
    <tableColumn id="27" name="میزان اطمینان"/>
    <tableColumn id="28" name="محدودیت‌های اطلاعاتی"/>
    <tableColumn id="29" name="بودجه و عملکرد"/>
  </tableColumns>
  <tableStyleInfo name="TableStyleLight9" showRowStripes="1"/>
</table>
</file>

<file path=xl/tables/table4.xml><?xml version="1.0" encoding="utf-8"?>
<table xmlns="http://schemas.openxmlformats.org/spreadsheetml/2006/main" id="4" name="T_EvidenceSources" displayName="T_EvidenceSources" ref="A1:J103" headerRowCount="1">
  <autoFilter ref="A1:J103"/>
  <tableColumns count="10">
    <tableColumn id="1" name="Evidence_ID"/>
    <tableColumn id="2" name="رسانه/منبع"/>
    <tableColumn id="3" name="URL"/>
    <tableColumn id="4" name="نوع منبع"/>
    <tableColumn id="5" name="تاریخ انتشار (طبق نتیجه)"/>
    <tableColumn id="6" name="تاریخ دسترسی"/>
    <tableColumn id="7" name="ادعای پشتیبانی‌شده"/>
    <tableColumn id="8" name="رکوردهای مرتبط"/>
    <tableColumn id="9" name="روش دسترسی"/>
    <tableColumn id="10" name="فاز"/>
  </tableColumns>
  <tableStyleInfo name="TableStyleLight9" showRowStripes="1"/>
</table>
</file>

<file path=xl/tables/table5.xml><?xml version="1.0" encoding="utf-8"?>
<table xmlns="http://schemas.openxmlformats.org/spreadsheetml/2006/main" id="5" name="T_ChannelAnalysis" displayName="T_ChannelAnalysis" ref="A1:O38" headerRowCount="1">
  <autoFilter ref="A1:O38"/>
  <tableColumns count="15">
    <tableColumn id="1" name="ID"/>
    <tableColumn id="2" name="برند/بازیگر"/>
    <tableColumn id="3" name="دسته"/>
    <tableColumn id="4" name="تعداد رکورد"/>
    <tableColumn id="5" name="نمایشگاه"/>
    <tableColumn id="6" name="رویداد"/>
    <tableColumn id="7" name="سامانه فروش"/>
    <tableColumn id="8" name="رسانه"/>
    <tableColumn id="9" name="بیلبورد"/>
    <tableColumn id="10" name="شوروم"/>
    <tableColumn id="11" name="نمایندگی"/>
    <tableColumn id="12" name="چهره"/>
    <tableColumn id="13" name="رپورتاژ"/>
    <tableColumn id="14" name="تست‌درایو"/>
    <tableColumn id="15" name="گستردگی کانال (تعداد کانال متمایز)"/>
  </tableColumns>
  <tableStyleInfo name="TableStyleLight9" showRowStripes="1"/>
</table>
</file>

<file path=xl/tables/table6.xml><?xml version="1.0" encoding="utf-8"?>
<table xmlns="http://schemas.openxmlformats.org/spreadsheetml/2006/main" id="6" name="T_CreativeAnalysis" displayName="T_CreativeAnalysis" ref="A1:M55" headerRowCount="1">
  <autoFilter ref="A1:M55"/>
  <tableColumns count="13">
    <tableColumn id="1" name="Campaign_ID"/>
    <tableColumn id="2" name="برند/بازیگر"/>
    <tableColumn id="3" name="نوع رکورد"/>
    <tableColumn id="4" name="عنوان"/>
    <tableColumn id="5" name="شعار/پیام"/>
    <tableColumn id="6" name="ایده خلاقه"/>
    <tableColumn id="7" name="پیشنهاد فروش"/>
    <tableColumn id="8" name="مخاطب"/>
    <tableColumn id="9" name="CTA"/>
    <tableColumn id="10" name="مرحله قیف (تحلیل)"/>
    <tableColumn id="11" name="تأکید پیام (تحلیل)"/>
    <tableColumn id="12" name="یکپارچگی چندکاناله (تحلیل)"/>
    <tableColumn id="13" name="یادداشت"/>
  </tableColumns>
  <tableStyleInfo name="TableStyleLight9" showRowStripes="1"/>
</table>
</file>

<file path=xl/tables/table7.xml><?xml version="1.0" encoding="utf-8"?>
<table xmlns="http://schemas.openxmlformats.org/spreadsheetml/2006/main" id="7" name="T_AgenciesPartners" displayName="T_AgenciesPartners" ref="A1:G6" headerRowCount="1">
  <autoFilter ref="A1:G6"/>
  <tableColumns count="7">
    <tableColumn id="1" name="Partner_ID"/>
    <tableColumn id="2" name="نام"/>
    <tableColumn id="3" name="نقش"/>
    <tableColumn id="4" name="پروژه/کمپین"/>
    <tableColumn id="5" name="Campaign_IDs"/>
    <tableColumn id="6" name="Evidence_IDs"/>
    <tableColumn id="7" name="اطمینان"/>
  </tableColumns>
  <tableStyleInfo name="TableStyleLight9" showRowStripes="1"/>
</table>
</file>

<file path=xl/tables/table8.xml><?xml version="1.0" encoding="utf-8"?>
<table xmlns="http://schemas.openxmlformats.org/spreadsheetml/2006/main" id="8" name="T_BrandCoverage" displayName="T_BrandCoverage" ref="A1:J48" headerRowCount="1">
  <autoFilter ref="A1:J48"/>
  <tableColumns count="10">
    <tableColumn id="1" name="Brand_ID"/>
    <tableColumn id="2" name="برند"/>
    <tableColumn id="3" name="دسته"/>
    <tableColumn id="4" name="وضعیت تحقیق"/>
    <tableColumn id="5" name="تعداد جست‌وجوی اختصاصی"/>
    <tableColumn id="6" name="تعداد منابع مرتبط ثبت‌شده"/>
    <tableColumn id="7" name="کانال‌های بررسی‌شده"/>
    <tableColumn id="8" name="آخرین تاریخ بررسی"/>
    <tableColumn id="9" name="محدودیت‌ها"/>
    <tableColumn id="10" name="شکاف‌های تحقیق"/>
  </tableColumns>
  <tableStyleInfo name="TableStyleLight9" showRowStripes="1"/>
</table>
</file>

<file path=xl/tables/table9.xml><?xml version="1.0" encoding="utf-8"?>
<table xmlns="http://schemas.openxmlformats.org/spreadsheetml/2006/main" id="9" name="T_Phase2Log" displayName="T_Phase2Log" ref="A1:K11" headerRowCount="1">
  <autoFilter ref="A1:K11"/>
  <tableColumns count="11">
    <tableColumn id="1" name="رتبه"/>
    <tableColumn id="2" name="بازیگر"/>
    <tableColumn id="3" name="Brand_IDs"/>
    <tableColumn id="4" name="کمپین/رویداد فاز ۱"/>
    <tableColumn id="5" name="کمپین/رویداد پس از فاز ۲"/>
    <tableColumn id="6" name="طرح فروش پس از فاز ۲"/>
    <tableColumn id="7" name="جست‌وجوی فاز ۲"/>
    <tableColumn id="8" name="شواهد جدید"/>
    <tableColumn id="9" name="Evidence_IDs جدید"/>
    <tableColumn id="10" name="رکوردهای افزوده/به‌روزشده"/>
    <tableColumn id="11" name="کانال‌های مسدود"/>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hyperlink" Target="https://www.pedal.ir/autoshow/741792-esfahan-auto-show-1404/" TargetMode="External" Id="rId1"/><Relationship Type="http://schemas.openxmlformats.org/officeDocument/2006/relationships/hyperlink" Target="https://www.pedal.ir/autoshow/741792-esfahan-auto-show-1404/" TargetMode="External" Id="rId2"/><Relationship Type="http://schemas.openxmlformats.org/officeDocument/2006/relationships/hyperlink" Target="https://www.asriran.com/fa/news/1124434/" TargetMode="External" Id="rId3"/><Relationship Type="http://schemas.openxmlformats.org/officeDocument/2006/relationships/hyperlink" Target="https://www.shahrekhabar.com/news/177011802098795" TargetMode="External" Id="rId4"/><Relationship Type="http://schemas.openxmlformats.org/officeDocument/2006/relationships/hyperlink" Target="https://www.parsine.com/%D8%A8%D8%AE%D8%B4-%D8%A7%D9%82%D8%AA%D8%B5%D8%A7%D8%AF%DB%8C-43/948944-" TargetMode="External" Id="rId5"/><Relationship Type="http://schemas.openxmlformats.org/officeDocument/2006/relationships/hyperlink" Target="https://neshanetejarat.ir/fa/news/77453/" TargetMode="External" Id="rId6"/><Relationship Type="http://schemas.openxmlformats.org/officeDocument/2006/relationships/hyperlink" Target="https://nabzgheymat.ir/%D9%BE%DB%8C%D8%B4-%D9%81%D8%B1%D9%88%D8%B4-%DA%86%D8%A7%D9%86%DA%AF%D8%A7%D9%86-441p-%D8%B3%D8%A7%DB%8C%D9%BE%D8%A7-%E2%94%82-%D9%85%D8%AA%D9%82%D8%A7%D8%B6%DB%8C%D8%A7%D9%86-%D8%AF%D8%B1-%D8%B7/" TargetMode="External" Id="rId7"/><Relationship Type="http://schemas.openxmlformats.org/officeDocument/2006/relationships/hyperlink" Target="https://digiato.com/price-terms-of-sale-car/saipa-publishes-conditions-for-sale-of-quick-and-citroen-c3-xr-august-2026" TargetMode="External" Id="rId8"/><Relationship Type="http://schemas.openxmlformats.org/officeDocument/2006/relationships/hyperlink" Target="https://www.eghtesadonline.com/fa/news/2160528/" TargetMode="External" Id="rId9"/><Relationship Type="http://schemas.openxmlformats.org/officeDocument/2006/relationships/hyperlink" Target="https://www.eghtesadonline.com/fa/news/2163052/" TargetMode="External" Id="rId10"/><Relationship Type="http://schemas.openxmlformats.org/officeDocument/2006/relationships/hyperlink" Target="https://fararu.com/fa/news/996573/" TargetMode="External" Id="rId11"/><Relationship Type="http://schemas.openxmlformats.org/officeDocument/2006/relationships/hyperlink" Target="https://www.pedal.ir/sales-plans/747371-iran-khodro-prices-sales-1405/" TargetMode="External" Id="rId12"/><Relationship Type="http://schemas.openxmlformats.org/officeDocument/2006/relationships/hyperlink" Target="https://www.hamrah-mechanic.com/mag/iran-khodro-recalls-peugeot-206-207-and-rana-heating-components/" TargetMode="External" Id="rId13"/><Relationship Type="http://schemas.openxmlformats.org/officeDocument/2006/relationships/hyperlink" Target="https://akharinkhabar.ir/cars/10958837/" TargetMode="External" Id="rId14"/><Relationship Type="http://schemas.openxmlformats.org/officeDocument/2006/relationships/hyperlink" Target="https://digiato.com/label/mvm" TargetMode="External" Id="rId15"/><Relationship Type="http://schemas.openxmlformats.org/officeDocument/2006/relationships/hyperlink" Target="https://digiato.com/label/mvm" TargetMode="External" Id="rId16"/><Relationship Type="http://schemas.openxmlformats.org/officeDocument/2006/relationships/hyperlink" Target="https://www.persiankhodro.com/news/150439/" TargetMode="External" Id="rId17"/><Relationship Type="http://schemas.openxmlformats.org/officeDocument/2006/relationships/hyperlink" Target="https://www.persiankhodro.com/news/150865/" TargetMode="External" Id="rId18"/><Relationship Type="http://schemas.openxmlformats.org/officeDocument/2006/relationships/hyperlink" Target="https://www.pedal.ir/pr/741263-fownix-premium-brand-iran-cars/" TargetMode="External" Id="rId19"/><Relationship Type="http://schemas.openxmlformats.org/officeDocument/2006/relationships/hyperlink" Target="https://www.pedal.ir/news/552339-kermanmotor-kmc-ktl-jac-hyundai-sales/" TargetMode="External" Id="rId20"/><Relationship Type="http://schemas.openxmlformats.org/officeDocument/2006/relationships/hyperlink" Target="https://www.sedayebourse.ir/news/540724/" TargetMode="External" Id="rId21"/><Relationship Type="http://schemas.openxmlformats.org/officeDocument/2006/relationships/hyperlink" Target="https://khodro45.com/mag/kermanmotor-presell/" TargetMode="External" Id="rId22"/><Relationship Type="http://schemas.openxmlformats.org/officeDocument/2006/relationships/hyperlink" Target="https://digiato.com/car-news/kerman-motor-brings-hyundai-azera-2026-to-iran" TargetMode="External" Id="rId23"/><Relationship Type="http://schemas.openxmlformats.org/officeDocument/2006/relationships/hyperlink" Target="https://www.khodrobank.com/reviews/40521/" TargetMode="External" Id="rId24"/><Relationship Type="http://schemas.openxmlformats.org/officeDocument/2006/relationships/hyperlink" Target="https://digiato.com/price-terms-of-sale-car/conditions-for-immediate-sale-of-cheval-6-announced-march-1404" TargetMode="External" Id="rId25"/><Relationship Type="http://schemas.openxmlformats.org/officeDocument/2006/relationships/hyperlink" Target="https://itoll.com/news/bahman-registration/" TargetMode="External" Id="rId26"/><Relationship Type="http://schemas.openxmlformats.org/officeDocument/2006/relationships/hyperlink" Target="https://www.eghtesadonline.com/fa/news/2157604/" TargetMode="External" Id="rId27"/><Relationship Type="http://schemas.openxmlformats.org/officeDocument/2006/relationships/hyperlink" Target="https://sanatemashin.com/fa/news/70030/" TargetMode="External" Id="rId28"/><Relationship Type="http://schemas.openxmlformats.org/officeDocument/2006/relationships/hyperlink" Target="http://www.asrekhodro.com/Home/News/263140" TargetMode="External" Id="rId29"/><Relationship Type="http://schemas.openxmlformats.org/officeDocument/2006/relationships/hyperlink" Target="https://sanatemashin.com/fa/news/70001/" TargetMode="External" Id="rId30"/><Relationship Type="http://schemas.openxmlformats.org/officeDocument/2006/relationships/hyperlink" Target="https://www.didarnews.ir/fa/news/205476/" TargetMode="External" Id="rId31"/><Relationship Type="http://schemas.openxmlformats.org/officeDocument/2006/relationships/hyperlink" Target="https://gadgetnews.net/1205296/tigard-tissan-t01-tehran-auto-show/" TargetMode="External" Id="rId32"/><Relationship Type="http://schemas.openxmlformats.org/officeDocument/2006/relationships/hyperlink" Target="https://digiato.com/price-terms-of-sale-car/first-sales-conditions-for-tisan-s05-published-january-1404" TargetMode="External" Id="rId33"/><Relationship Type="http://schemas.openxmlformats.org/officeDocument/2006/relationships/hyperlink" Target="https://car.ir/news/31067-byd-tigardmotor-sales-aban-1404" TargetMode="External" Id="rId34"/><Relationship Type="http://schemas.openxmlformats.org/officeDocument/2006/relationships/hyperlink" Target="https://gadgetnews.net/1180384/sales-terms-for-changan-uni-t-at-a-fixed-price-tir-1405/" TargetMode="External" Id="rId35"/><Relationship Type="http://schemas.openxmlformats.org/officeDocument/2006/relationships/hyperlink" Target="https://carna.ir/fa/news/26290/" TargetMode="External" Id="rId36"/><Relationship Type="http://schemas.openxmlformats.org/officeDocument/2006/relationships/hyperlink" Target="https://www.persiankhodro.com/news/150851/" TargetMode="External" Id="rId37"/><Relationship Type="http://schemas.openxmlformats.org/officeDocument/2006/relationships/hyperlink" Target="https://gadgetnews.net/1205236/opel-mokka-tehran-show/" TargetMode="External" Id="rId38"/><Relationship Type="http://schemas.openxmlformats.org/officeDocument/2006/relationships/hyperlink" Target="https://digiato.com/car-news/look-at-mazda-cx-90-and-other-products-at-aftab-khodro-stand" TargetMode="External" Id="rId39"/><Relationship Type="http://schemas.openxmlformats.org/officeDocument/2006/relationships/hyperlink" Target="https://www.pedal.ir/news/746793-moinkhodro-tehran-auto-show/" TargetMode="External" Id="rId40"/><Relationship Type="http://schemas.openxmlformats.org/officeDocument/2006/relationships/hyperlink" Target="https://sanatemashin.com/fa/news/69940/" TargetMode="External" Id="rId41"/><Relationship Type="http://schemas.openxmlformats.org/officeDocument/2006/relationships/hyperlink" Target="https://www.eghtesadonline.com/fa/news/2161916/" TargetMode="External" Id="rId42"/><Relationship Type="http://schemas.openxmlformats.org/officeDocument/2006/relationships/hyperlink" Target="https://sanatemashin.com/fa/news/69999/" TargetMode="External" Id="rId43"/><Relationship Type="http://schemas.openxmlformats.org/officeDocument/2006/relationships/hyperlink" Target="https://khodro45.com/mag/avn-imported-cars-system-lottery-04-09-25/" TargetMode="External" Id="rId44"/><Relationship Type="http://schemas.openxmlformats.org/officeDocument/2006/relationships/hyperlink" Target="https://www.taadolnewspaper.ir/fa/news/389650/" TargetMode="External" Id="rId45"/><Relationship Type="http://schemas.openxmlformats.org/officeDocument/2006/relationships/hyperlink" Target="https://khodro45.com/mag/byd-sell/" TargetMode="External" Id="rId46"/><Relationship Type="http://schemas.openxmlformats.org/officeDocument/2006/relationships/hyperlink" Target="https://vista.ir/n/andishehqarn/v06zi" TargetMode="External" Id="rId47"/><Relationship Type="http://schemas.openxmlformats.org/officeDocument/2006/relationships/hyperlink" Target="https://www.zoomit.ir/iran-news/454674-khodro45-outdoor-campaign-sold-in-a-moment/" TargetMode="External" Id="rId48"/><Relationship Type="http://schemas.openxmlformats.org/officeDocument/2006/relationships/hyperlink" Target="https://www.tabnak.ir/fa/news/1356090/" TargetMode="External" Id="rId49"/><Relationship Type="http://schemas.openxmlformats.org/officeDocument/2006/relationships/hyperlink" Target="https://www.pedal.ir/news/746813-ikco-content-competition-tehran-auto-show/" TargetMode="External" Id="rId50"/><Relationship Type="http://schemas.openxmlformats.org/officeDocument/2006/relationships/hyperlink" Target="https://rahbordemoaser.ir/fa/news/320132/" TargetMode="External" Id="rId51"/><Relationship Type="http://schemas.openxmlformats.org/officeDocument/2006/relationships/hyperlink" Target="https://www.eghtesadonline.com/fa/news/2164075/" TargetMode="External" Id="rId52"/><Relationship Type="http://schemas.openxmlformats.org/officeDocument/2006/relationships/hyperlink" Target="https://gadgetnews.net/1204964/sales-terms-for-the-arina-drive-nissan-qashqai-at-the-new-price-shahrivar-1405/" TargetMode="External" Id="rId53"/><Relationship Type="http://schemas.openxmlformats.org/officeDocument/2006/relationships/hyperlink" Target="https://digiato.com/price-terms-of-sale-car/kia-k3-and-kia-stonic-sales-conditions-published-september-1405" TargetMode="External" Id="rId54"/><Relationship Type="http://schemas.openxmlformats.org/officeDocument/2006/relationships/table" Target="/xl/tables/table3.xml" Id="rId55"/></Relationships>
</file>

<file path=xl/worksheets/_rels/sheet4.xml.rels><Relationships xmlns="http://schemas.openxmlformats.org/package/2006/relationships"><Relationship Type="http://schemas.openxmlformats.org/officeDocument/2006/relationships/hyperlink" Target="https://www.imarketor.com/advertising-industry-iran-1404/" TargetMode="External" Id="rId1"/><Relationship Type="http://schemas.openxmlformats.org/officeDocument/2006/relationships/hyperlink" Target="https://www.hamrah-mechanic.com/mag/iran-car-advertisement-analysis" TargetMode="External" Id="rId2"/><Relationship Type="http://schemas.openxmlformats.org/officeDocument/2006/relationships/hyperlink" Target="https://gadgetnews.net/1205047/the-7th-tehran-auto-show-opened-at-shahr-e-aftab/" TargetMode="External" Id="rId3"/><Relationship Type="http://schemas.openxmlformats.org/officeDocument/2006/relationships/hyperlink" Target="https://www.eghtesadonline.com/fa/news/2157604/" TargetMode="External" Id="rId4"/><Relationship Type="http://schemas.openxmlformats.org/officeDocument/2006/relationships/hyperlink" Target="https://bama.ir/news/29764/" TargetMode="External" Id="rId5"/><Relationship Type="http://schemas.openxmlformats.org/officeDocument/2006/relationships/hyperlink" Target="https://sanatemashin.com/fa/news/69964/" TargetMode="External" Id="rId6"/><Relationship Type="http://schemas.openxmlformats.org/officeDocument/2006/relationships/hyperlink" Target="https://www.pedal.ir/autoshow/741792-esfahan-auto-show-1404/" TargetMode="External" Id="rId7"/><Relationship Type="http://schemas.openxmlformats.org/officeDocument/2006/relationships/hyperlink" Target="https://www.asriran.com/fa/news/1104740/" TargetMode="External" Id="rId8"/><Relationship Type="http://schemas.openxmlformats.org/officeDocument/2006/relationships/hyperlink" Target="https://www.eghtesadonline.com/fa/news/2163052/" TargetMode="External" Id="rId9"/><Relationship Type="http://schemas.openxmlformats.org/officeDocument/2006/relationships/hyperlink" Target="https://akharinkhodro.ir/car-news/domestic-car/iran-khodro-tehran-auto-show-lineup-rira-to-benz/" TargetMode="External" Id="rId10"/><Relationship Type="http://schemas.openxmlformats.org/officeDocument/2006/relationships/hyperlink" Target="https://fararu.com/fa/news/996573/" TargetMode="External" Id="rId11"/><Relationship Type="http://schemas.openxmlformats.org/officeDocument/2006/relationships/hyperlink" Target="https://akharinkhabar.ir/cars/10999585/" TargetMode="External" Id="rId12"/><Relationship Type="http://schemas.openxmlformats.org/officeDocument/2006/relationships/hyperlink" Target="https://www.pedal.ir/sales-plans/747371-iran-khodro-prices-sales-1405/" TargetMode="External" Id="rId13"/><Relationship Type="http://schemas.openxmlformats.org/officeDocument/2006/relationships/hyperlink" Target="https://akharinkhabar.ir/cars/10958837/" TargetMode="External" Id="rId14"/><Relationship Type="http://schemas.openxmlformats.org/officeDocument/2006/relationships/hyperlink" Target="https://www.pedal.ir/news/747217-shine-max-hybrid-iran-khodro/" TargetMode="External" Id="rId15"/><Relationship Type="http://schemas.openxmlformats.org/officeDocument/2006/relationships/hyperlink" Target="https://www.hamrah-mechanic.com/mag/iran-khodro-recalls-peugeot-206-207-and-rana-heating-components/" TargetMode="External" Id="rId16"/><Relationship Type="http://schemas.openxmlformats.org/officeDocument/2006/relationships/hyperlink" Target="https://www.asriran.com/fa/news/1124434/" TargetMode="External" Id="rId17"/><Relationship Type="http://schemas.openxmlformats.org/officeDocument/2006/relationships/hyperlink" Target="https://www.eghtesadonline.com/fa/news/2106978/" TargetMode="External" Id="rId18"/><Relationship Type="http://schemas.openxmlformats.org/officeDocument/2006/relationships/hyperlink" Target="https://www.sedayebourse.ir/news/542671/" TargetMode="External" Id="rId19"/><Relationship Type="http://schemas.openxmlformats.org/officeDocument/2006/relationships/hyperlink" Target="https://www.shahrekhabar.com/news/177011802098795" TargetMode="External" Id="rId20"/><Relationship Type="http://schemas.openxmlformats.org/officeDocument/2006/relationships/hyperlink" Target="https://nabzgheymat.ir/%D9%BE%DB%8C%D8%B4-%D9%81%D8%B1%D9%88%D8%B4-%DA%86%D8%A7%D9%86%DA%AF%D8%A7%D9%86-441p-%D8%B3%D8%A7%DB%8C%D9%BE%D8%A7-%E2%94%82-%D9%85%D8%AA%D9%82%D8%A7%D8%B6%DB%8C%D8%A7%D9%86-%D8%AF%D8%B1-%D8%B7/" TargetMode="External" Id="rId21"/><Relationship Type="http://schemas.openxmlformats.org/officeDocument/2006/relationships/hyperlink" Target="https://neshanetejarat.ir/fa/news/77453/" TargetMode="External" Id="rId22"/><Relationship Type="http://schemas.openxmlformats.org/officeDocument/2006/relationships/hyperlink" Target="https://digiato.com/price-terms-of-sale-car/saipa-publishes-conditions-for-sale-of-quick-and-citroen-c3-xr-august-2026" TargetMode="External" Id="rId23"/><Relationship Type="http://schemas.openxmlformats.org/officeDocument/2006/relationships/hyperlink" Target="https://www.eghtesadonline.com/fa/news/2160528/" TargetMode="External" Id="rId24"/><Relationship Type="http://schemas.openxmlformats.org/officeDocument/2006/relationships/hyperlink" Target="https://fararu.com/fa/news/1004437/" TargetMode="External" Id="rId25"/><Relationship Type="http://schemas.openxmlformats.org/officeDocument/2006/relationships/hyperlink" Target="https://www.parsine.com/%D8%A8%D8%AE%D8%B4-%D8%A7%D9%82%D8%AA%D8%B5%D8%A7%D8%AF%DB%8C-43/948944-" TargetMode="External" Id="rId26"/><Relationship Type="http://schemas.openxmlformats.org/officeDocument/2006/relationships/hyperlink" Target="https://www.persiankhodro.com/news/150439/" TargetMode="External" Id="rId27"/><Relationship Type="http://schemas.openxmlformats.org/officeDocument/2006/relationships/hyperlink" Target="https://www.persiankhodro.com/news/150865/" TargetMode="External" Id="rId28"/><Relationship Type="http://schemas.openxmlformats.org/officeDocument/2006/relationships/hyperlink" Target="https://noandish.com/fa/news/218321/" TargetMode="External" Id="rId29"/><Relationship Type="http://schemas.openxmlformats.org/officeDocument/2006/relationships/hyperlink" Target="https://www.pedal.ir/pr/741263-fownix-premium-brand-iran-cars/" TargetMode="External" Id="rId30"/><Relationship Type="http://schemas.openxmlformats.org/officeDocument/2006/relationships/hyperlink" Target="https://digiato.com/label/mvm" TargetMode="External" Id="rId31"/><Relationship Type="http://schemas.openxmlformats.org/officeDocument/2006/relationships/hyperlink" Target="https://www.sedayebourse.ir/news/540724/" TargetMode="External" Id="rId32"/><Relationship Type="http://schemas.openxmlformats.org/officeDocument/2006/relationships/hyperlink" Target="https://digiato.com/price-terms-of-sale-car/kerman-motor-pre-sale-conditions-began-with-five-products-december-1404" TargetMode="External" Id="rId33"/><Relationship Type="http://schemas.openxmlformats.org/officeDocument/2006/relationships/hyperlink" Target="https://www.pedal.ir/news/552339-kermanmotor-kmc-ktl-jac-hyundai-sales/" TargetMode="External" Id="rId34"/><Relationship Type="http://schemas.openxmlformats.org/officeDocument/2006/relationships/hyperlink" Target="https://digiato.com/car-news/kerman-motor-brings-hyundai-azera-2026-to-iran" TargetMode="External" Id="rId35"/><Relationship Type="http://schemas.openxmlformats.org/officeDocument/2006/relationships/hyperlink" Target="https://khodro45.com/mag/kermanmotor-presell/" TargetMode="External" Id="rId36"/><Relationship Type="http://schemas.openxmlformats.org/officeDocument/2006/relationships/hyperlink" Target="https://www.khodrobank.com/reviews/40521/" TargetMode="External" Id="rId37"/><Relationship Type="http://schemas.openxmlformats.org/officeDocument/2006/relationships/hyperlink" Target="https://machinemag.ir/1404/08/27/%D8%B4%D8%B1%D8%A7%DB%8C%D8%B7-%D9%81%D8%B1%D9%88%D8%B4-%D8%A8%D9%87%D9%85%D9%86-%D9%85%D9%88%D8%AA%D9%88%D8%B1/" TargetMode="External" Id="rId38"/><Relationship Type="http://schemas.openxmlformats.org/officeDocument/2006/relationships/hyperlink" Target="https://itoll.com/news/bahman-registration/" TargetMode="External" Id="rId39"/><Relationship Type="http://schemas.openxmlformats.org/officeDocument/2006/relationships/hyperlink" Target="https://digiato.com/price-terms-of-sale-car/conditions-for-immediate-sale-of-cheval-6-announced-march-1404" TargetMode="External" Id="rId40"/><Relationship Type="http://schemas.openxmlformats.org/officeDocument/2006/relationships/hyperlink" Target="https://khodro45.com/mag/avn-imported-cars-system-lottery-04-09-25/" TargetMode="External" Id="rId41"/><Relationship Type="http://schemas.openxmlformats.org/officeDocument/2006/relationships/hyperlink" Target="https://digiato.com/price-terms-of-sale-car/new-phase-of-imported-car-supply-begun-december-1404" TargetMode="External" Id="rId42"/><Relationship Type="http://schemas.openxmlformats.org/officeDocument/2006/relationships/hyperlink" Target="https://car.ir/news/31202-new-round-imported-cars-enrollment-azar-1404" TargetMode="External" Id="rId43"/><Relationship Type="http://schemas.openxmlformats.org/officeDocument/2006/relationships/hyperlink" Target="https://www.taadolnewspaper.ir/fa/news/389650/" TargetMode="External" Id="rId44"/><Relationship Type="http://schemas.openxmlformats.org/officeDocument/2006/relationships/hyperlink" Target="https://www.eghtesadonline.com/fa/news/2164553/" TargetMode="External" Id="rId45"/><Relationship Type="http://schemas.openxmlformats.org/officeDocument/2006/relationships/hyperlink" Target="https://www.khodrobank.com/reviews/42146/" TargetMode="External" Id="rId46"/><Relationship Type="http://schemas.openxmlformats.org/officeDocument/2006/relationships/hyperlink" Target="https://sanatemashin.com/fa/news/70030/" TargetMode="External" Id="rId47"/><Relationship Type="http://schemas.openxmlformats.org/officeDocument/2006/relationships/hyperlink" Target="http://www.asrekhodro.com/Home/News/263140" TargetMode="External" Id="rId48"/><Relationship Type="http://schemas.openxmlformats.org/officeDocument/2006/relationships/hyperlink" Target="https://sanatemashin.com/fa/news/70001/" TargetMode="External" Id="rId49"/><Relationship Type="http://schemas.openxmlformats.org/officeDocument/2006/relationships/hyperlink" Target="https://www.persiankhodro.com/news/150851/" TargetMode="External" Id="rId50"/><Relationship Type="http://schemas.openxmlformats.org/officeDocument/2006/relationships/hyperlink" Target="https://gadgetnews.net/1205236/opel-mokka-tehran-show/" TargetMode="External" Id="rId51"/><Relationship Type="http://schemas.openxmlformats.org/officeDocument/2006/relationships/hyperlink" Target="https://digiato.com/car-news/look-at-mazda-cx-90-and-other-products-at-aftab-khodro-stand" TargetMode="External" Id="rId52"/><Relationship Type="http://schemas.openxmlformats.org/officeDocument/2006/relationships/hyperlink" Target="https://www.pedal.ir/news/746793-moinkhodro-tehran-auto-show/" TargetMode="External" Id="rId53"/><Relationship Type="http://schemas.openxmlformats.org/officeDocument/2006/relationships/hyperlink" Target="https://sanatemashin.com/fa/news/69940/" TargetMode="External" Id="rId54"/><Relationship Type="http://schemas.openxmlformats.org/officeDocument/2006/relationships/hyperlink" Target="https://www.eghtesadonline.com/fa/news/2161916/" TargetMode="External" Id="rId55"/><Relationship Type="http://schemas.openxmlformats.org/officeDocument/2006/relationships/hyperlink" Target="https://sanatemashin.com/fa/news/69999/" TargetMode="External" Id="rId56"/><Relationship Type="http://schemas.openxmlformats.org/officeDocument/2006/relationships/hyperlink" Target="https://carna.ir/fa/news/26290/" TargetMode="External" Id="rId57"/><Relationship Type="http://schemas.openxmlformats.org/officeDocument/2006/relationships/hyperlink" Target="https://vista.ir/n/andishehqarn/v06zi" TargetMode="External" Id="rId58"/><Relationship Type="http://schemas.openxmlformats.org/officeDocument/2006/relationships/hyperlink" Target="https://gadgetnews.net/1180384/sales-terms-for-changan-uni-t-at-a-fixed-price-tir-1405/" TargetMode="External" Id="rId59"/><Relationship Type="http://schemas.openxmlformats.org/officeDocument/2006/relationships/hyperlink" Target="https://www.eghtesadonline.com/fa/news/2163115/" TargetMode="External" Id="rId60"/><Relationship Type="http://schemas.openxmlformats.org/officeDocument/2006/relationships/hyperlink" Target="https://www.didarnews.ir/fa/news/205476/" TargetMode="External" Id="rId61"/><Relationship Type="http://schemas.openxmlformats.org/officeDocument/2006/relationships/hyperlink" Target="https://akharinkhabar.ir/cars/11003425/" TargetMode="External" Id="rId62"/><Relationship Type="http://schemas.openxmlformats.org/officeDocument/2006/relationships/hyperlink" Target="https://gadgetnews.net/1205296/tigard-tissan-t01-tehran-auto-show/" TargetMode="External" Id="rId63"/><Relationship Type="http://schemas.openxmlformats.org/officeDocument/2006/relationships/hyperlink" Target="https://car.ir/news/31067-byd-tigardmotor-sales-aban-1404" TargetMode="External" Id="rId64"/><Relationship Type="http://schemas.openxmlformats.org/officeDocument/2006/relationships/hyperlink" Target="https://khodro45.com/mag/byd-sell/" TargetMode="External" Id="rId65"/><Relationship Type="http://schemas.openxmlformats.org/officeDocument/2006/relationships/hyperlink" Target="https://www.bamco.ir/" TargetMode="External" Id="rId66"/><Relationship Type="http://schemas.openxmlformats.org/officeDocument/2006/relationships/hyperlink" Target="https://digiato.com/price-terms-of-sale-car/first-sales-conditions-for-tisan-s05-published-january-1404" TargetMode="External" Id="rId67"/><Relationship Type="http://schemas.openxmlformats.org/officeDocument/2006/relationships/hyperlink" Target="https://www.zoomit.ir/iran-news/454674-khodro45-outdoor-campaign-sold-in-a-moment/" TargetMode="External" Id="rId68"/><Relationship Type="http://schemas.openxmlformats.org/officeDocument/2006/relationships/hyperlink" Target="https://digiato.com/iran-technology-news/khodro45-launches-new-outdoor-advertising-campaign" TargetMode="External" Id="rId69"/><Relationship Type="http://schemas.openxmlformats.org/officeDocument/2006/relationships/hyperlink" Target="https://www.tabnak.ir/fa/news/1356090/" TargetMode="External" Id="rId70"/><Relationship Type="http://schemas.openxmlformats.org/officeDocument/2006/relationships/hyperlink" Target="https://digiato.com/car-news/saipa-unveiled-three-new-products-ariano-z25-pickup-and-251-van" TargetMode="External" Id="rId71"/><Relationship Type="http://schemas.openxmlformats.org/officeDocument/2006/relationships/hyperlink" Target="https://www.entekhab.ir/fa/news/940556/" TargetMode="External" Id="rId72"/><Relationship Type="http://schemas.openxmlformats.org/officeDocument/2006/relationships/hyperlink" Target="https://www.khabaronline.ir/news/2285171/" TargetMode="External" Id="rId73"/><Relationship Type="http://schemas.openxmlformats.org/officeDocument/2006/relationships/hyperlink" Target="https://gadgetnews.net/1216298/saipa-ariano-phev-details/" TargetMode="External" Id="rId74"/><Relationship Type="http://schemas.openxmlformats.org/officeDocument/2006/relationships/hyperlink" Target="https://rahbordemoaser.ir/fa/news/320132/" TargetMode="External" Id="rId75"/><Relationship Type="http://schemas.openxmlformats.org/officeDocument/2006/relationships/hyperlink" Target="https://carna.ir/fa/news/26307/" TargetMode="External" Id="rId76"/><Relationship Type="http://schemas.openxmlformats.org/officeDocument/2006/relationships/hyperlink" Target="https://www.pedal.ir/news/746813-ikco-content-competition-tehran-auto-show/" TargetMode="External" Id="rId77"/><Relationship Type="http://schemas.openxmlformats.org/officeDocument/2006/relationships/hyperlink" Target="https://www.mehrnews.com/news/6945620/" TargetMode="External" Id="rId78"/><Relationship Type="http://schemas.openxmlformats.org/officeDocument/2006/relationships/hyperlink" Target="https://www.eghtesadonline.com/fa/news/2162765/" TargetMode="External" Id="rId79"/><Relationship Type="http://schemas.openxmlformats.org/officeDocument/2006/relationships/hyperlink" Target="https://carna.ir/fa/news/26073/" TargetMode="External" Id="rId80"/><Relationship Type="http://schemas.openxmlformats.org/officeDocument/2006/relationships/hyperlink" Target="https://www.persiankhodro.com/news/150791/" TargetMode="External" Id="rId81"/><Relationship Type="http://schemas.openxmlformats.org/officeDocument/2006/relationships/hyperlink" Target="https://gadgetnews.net/1204737/tigard-motor-unveiled-the-tissan-t1-t2-and-g700-vehicles/" TargetMode="External" Id="rId82"/><Relationship Type="http://schemas.openxmlformats.org/officeDocument/2006/relationships/hyperlink" Target="https://gadgetnews.net/1205407/tigard-motors-tissan-t02-off-road-suv-was-unveiled-at-the-tehran-auto-show/" TargetMode="External" Id="rId83"/><Relationship Type="http://schemas.openxmlformats.org/officeDocument/2006/relationships/hyperlink" Target="https://gadgetnews.net/1205843/tisan-g700-suv-unveiled/" TargetMode="External" Id="rId84"/><Relationship Type="http://schemas.openxmlformats.org/officeDocument/2006/relationships/hyperlink" Target="https://digiato.com/articles/look-at-specifications-of-tigard-motor-tisan-s05" TargetMode="External" Id="rId85"/><Relationship Type="http://schemas.openxmlformats.org/officeDocument/2006/relationships/hyperlink" Target="https://gadgetnews.net/1103059/tigard-motors-has-unveiled-chinese-crossover-tisan-s05/" TargetMode="External" Id="rId86"/><Relationship Type="http://schemas.openxmlformats.org/officeDocument/2006/relationships/hyperlink" Target="https://www.eghtesadonline.com/fa/news/2164075/" TargetMode="External" Id="rId87"/><Relationship Type="http://schemas.openxmlformats.org/officeDocument/2006/relationships/hyperlink" Target="https://sanatemashin.com/fa/news/70052/" TargetMode="External" Id="rId88"/><Relationship Type="http://schemas.openxmlformats.org/officeDocument/2006/relationships/hyperlink" Target="https://fararu.com/fa/news/1007471/" TargetMode="External" Id="rId89"/><Relationship Type="http://schemas.openxmlformats.org/officeDocument/2006/relationships/hyperlink" Target="https://www.pedal.ir/news/746843-bahman-group-tehran-auto-show-five-new-reveals/" TargetMode="External" Id="rId90"/><Relationship Type="http://schemas.openxmlformats.org/officeDocument/2006/relationships/hyperlink" Target="https://www.taadolnewspaper.ir/fa/news/402390/" TargetMode="External" Id="rId91"/><Relationship Type="http://schemas.openxmlformats.org/officeDocument/2006/relationships/hyperlink" Target="https://www.mehrnews.com/news/6941386/" TargetMode="External" Id="rId92"/><Relationship Type="http://schemas.openxmlformats.org/officeDocument/2006/relationships/hyperlink" Target="https://sanatemashin.com/fa/news/69979/" TargetMode="External" Id="rId93"/><Relationship Type="http://schemas.openxmlformats.org/officeDocument/2006/relationships/hyperlink" Target="https://sanatemashin.com/fa/news/69980/" TargetMode="External" Id="rId94"/><Relationship Type="http://schemas.openxmlformats.org/officeDocument/2006/relationships/hyperlink" Target="https://gadgetnews.net/1205375/opel-grandland-crossover-arrives-in-iran/" TargetMode="External" Id="rId95"/><Relationship Type="http://schemas.openxmlformats.org/officeDocument/2006/relationships/hyperlink" Target="https://www.pedal.ir/introduction/746850-opel-corsa-tehran-exhibition/" TargetMode="External" Id="rId96"/><Relationship Type="http://schemas.openxmlformats.org/officeDocument/2006/relationships/hyperlink" Target="https://gadgetnews.net/1204964/sales-terms-for-the-arina-drive-nissan-qashqai-at-the-new-price-shahrivar-1405/" TargetMode="External" Id="rId97"/><Relationship Type="http://schemas.openxmlformats.org/officeDocument/2006/relationships/hyperlink" Target="https://gadgetnews.net/1177238/nissan-qashqai-sales-terms-for-tir-1405/" TargetMode="External" Id="rId98"/><Relationship Type="http://schemas.openxmlformats.org/officeDocument/2006/relationships/hyperlink" Target="https://digiato.com/price-terms-of-sale-car/kia-k3-and-kia-stonic-sales-conditions-published-september-1405" TargetMode="External" Id="rId99"/><Relationship Type="http://schemas.openxmlformats.org/officeDocument/2006/relationships/hyperlink" Target="https://digiato.com/price-terms-of-sale-car/prices-of-kia-and-hyundai-hermes-khodro-cars-increased-may-2026" TargetMode="External" Id="rId100"/><Relationship Type="http://schemas.openxmlformats.org/officeDocument/2006/relationships/hyperlink" Target="https://bama.ir/news/offer/%D8%B4%D8%B1%D8%A7%DB%8C%D8%B7-%D9%81%D8%B1%D9%88%D8%B4-%D9%87%D8%B1%D9%85%D8%B3-%D8%AE%D9%88%D8%AF%D8%B1%D9%88" TargetMode="External" Id="rId101"/><Relationship Type="http://schemas.openxmlformats.org/officeDocument/2006/relationships/hyperlink" Target="https://aftab-khodro.com/post/EX30-Sales" TargetMode="External" Id="rId102"/><Relationship Type="http://schemas.openxmlformats.org/officeDocument/2006/relationships/table" Target="/xl/tables/table4.xml" Id="rId103"/></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drawing" Target="/xl/drawings/drawing1.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M48"/>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18" customWidth="1" min="3" max="3"/>
    <col width="18" customWidth="1" min="4" max="4"/>
    <col width="14" customWidth="1" min="5" max="5"/>
    <col width="28" customWidth="1" min="6" max="6"/>
    <col width="28" customWidth="1" min="7" max="7"/>
    <col width="34" customWidth="1" min="8" max="8"/>
    <col width="18" customWidth="1" min="9" max="9"/>
    <col width="22" customWidth="1" min="10" max="10"/>
    <col width="28" customWidth="1" min="11" max="11"/>
    <col width="12" customWidth="1" min="12" max="12"/>
    <col width="12" customWidth="1" min="13" max="13"/>
  </cols>
  <sheetData>
    <row r="1" ht="36" customHeight="1">
      <c r="A1" s="1" t="inlineStr">
        <is>
          <t>Brand_ID</t>
        </is>
      </c>
      <c r="B1" s="1" t="inlineStr">
        <is>
          <t>برند</t>
        </is>
      </c>
      <c r="C1" s="1" t="inlineStr">
        <is>
          <t>کشور مبدأ</t>
        </is>
      </c>
      <c r="D1" s="1" t="inlineStr">
        <is>
          <t>دسته بازار</t>
        </is>
      </c>
      <c r="E1" s="1" t="inlineStr">
        <is>
          <t>Company_IDs</t>
        </is>
      </c>
      <c r="F1" s="1" t="inlineStr">
        <is>
          <t>شرکت(های) مرتبط</t>
        </is>
      </c>
      <c r="G1" s="1" t="inlineStr">
        <is>
          <t>عرضه‌کننده در ایران</t>
        </is>
      </c>
      <c r="H1" s="1" t="inlineStr">
        <is>
          <t>مدل‌های مرتبط</t>
        </is>
      </c>
      <c r="I1" s="1" t="inlineStr">
        <is>
          <t>وضعیت فعالیت در بازه</t>
        </is>
      </c>
      <c r="J1" s="1" t="inlineStr">
        <is>
          <t>شواهد فعالیت (Evidence_ID)</t>
        </is>
      </c>
      <c r="K1" s="1" t="inlineStr">
        <is>
          <t>وضعیت بررسی تبلیغات</t>
        </is>
      </c>
      <c r="L1" s="1" t="inlineStr">
        <is>
          <t>تعداد کمپین/رویداد مستند</t>
        </is>
      </c>
      <c r="M1" s="1" t="inlineStr">
        <is>
          <t>تعداد طرح فروش ثبت‌شده</t>
        </is>
      </c>
    </row>
    <row r="2">
      <c r="A2" s="2" t="inlineStr">
        <is>
          <t>BR-001</t>
        </is>
      </c>
      <c r="B2" s="2" t="inlineStr">
        <is>
          <t>ایران خودرو (IKCO) — تارا، ری‌را، دنا، سورن، پژو ۲۰۷</t>
        </is>
      </c>
      <c r="C2" s="2" t="inlineStr">
        <is>
          <t>ایران</t>
        </is>
      </c>
      <c r="D2" s="2" t="inlineStr">
        <is>
          <t>A — خودروساز داخلی</t>
        </is>
      </c>
      <c r="E2" s="2" t="inlineStr">
        <is>
          <t>CO-001</t>
        </is>
      </c>
      <c r="F2" s="2" t="inlineStr">
        <is>
          <t>ایران خودرو</t>
        </is>
      </c>
      <c r="G2" s="2" t="inlineStr">
        <is>
          <t>ایران خودرو</t>
        </is>
      </c>
      <c r="H2" s="2" t="inlineStr">
        <is>
          <t>تارا، ری‌را، دناپلاس، سورن، پژو ۲۰۷، رانا، آریسان</t>
        </is>
      </c>
      <c r="I2" s="2" t="inlineStr">
        <is>
          <t>فعال</t>
        </is>
      </c>
      <c r="J2" s="2" t="inlineStr">
        <is>
          <t>EV-020;EV-021;EV-022;EV-024</t>
        </is>
      </c>
      <c r="K2" s="2" t="inlineStr">
        <is>
          <t>بررسی انجام شده؛ کمپین پیدا شد</t>
        </is>
      </c>
      <c r="L2" s="2" t="n">
        <v>4</v>
      </c>
      <c r="M2" s="2" t="n">
        <v>2</v>
      </c>
    </row>
    <row r="3">
      <c r="A3" s="2" t="inlineStr">
        <is>
          <t>BR-002</t>
        </is>
      </c>
      <c r="B3" s="2" t="inlineStr">
        <is>
          <t>ایکو پرمیوم / سفیر (زیربرند ایران خودرو)</t>
        </is>
      </c>
      <c r="C3" s="2" t="inlineStr">
        <is>
          <t>ایران (پلتفرم خارجی)</t>
        </is>
      </c>
      <c r="D3" s="2" t="inlineStr">
        <is>
          <t>A — خودروساز داخلی</t>
        </is>
      </c>
      <c r="E3" s="2" t="inlineStr">
        <is>
          <t>CO-001</t>
        </is>
      </c>
      <c r="F3" s="2" t="inlineStr">
        <is>
          <t>ایران خودرو</t>
        </is>
      </c>
      <c r="G3" s="2" t="inlineStr">
        <is>
          <t>ایران خودرو</t>
        </is>
      </c>
      <c r="H3" s="2" t="inlineStr">
        <is>
          <t>سفیر R7</t>
        </is>
      </c>
      <c r="I3" s="2" t="inlineStr">
        <is>
          <t>فعال (نیازمند تأیید)</t>
        </is>
      </c>
      <c r="J3" s="2" t="inlineStr">
        <is>
          <t>EV-025</t>
        </is>
      </c>
      <c r="K3" s="2" t="inlineStr">
        <is>
          <t>بررسی انجام شده؛ کمپین پیدا شد</t>
        </is>
      </c>
      <c r="L3" s="2" t="n">
        <v>2</v>
      </c>
      <c r="M3" s="2" t="n">
        <v>0</v>
      </c>
    </row>
    <row r="4">
      <c r="A4" s="2" t="inlineStr">
        <is>
          <t>BR-003</t>
        </is>
      </c>
      <c r="B4" s="2" t="inlineStr">
        <is>
          <t>سایپا — شاهین، آریا، اطلس، ساینا، کوییک، ۱۵۱</t>
        </is>
      </c>
      <c r="C4" s="2" t="inlineStr">
        <is>
          <t>ایران</t>
        </is>
      </c>
      <c r="D4" s="2" t="inlineStr">
        <is>
          <t>A — خودروساز داخلی</t>
        </is>
      </c>
      <c r="E4" s="2" t="inlineStr">
        <is>
          <t>CO-002</t>
        </is>
      </c>
      <c r="F4" s="2" t="inlineStr">
        <is>
          <t>سایپا</t>
        </is>
      </c>
      <c r="G4" s="2" t="inlineStr">
        <is>
          <t>سایپا</t>
        </is>
      </c>
      <c r="H4" s="2" t="inlineStr">
        <is>
          <t>شاهین، آریا، آریانو (PHEV)، اطلس S، ساینا S، کوییک، وانت ۱۵۱ و ۲۵۱</t>
        </is>
      </c>
      <c r="I4" s="2" t="inlineStr">
        <is>
          <t>فعال</t>
        </is>
      </c>
      <c r="J4" s="2" t="inlineStr">
        <is>
          <t>EV-030;EV-031;EV-032;EV-035</t>
        </is>
      </c>
      <c r="K4" s="2" t="inlineStr">
        <is>
          <t>بررسی انجام شده؛ کمپین پیدا شد</t>
        </is>
      </c>
      <c r="L4" s="2" t="n">
        <v>2</v>
      </c>
      <c r="M4" s="2" t="n">
        <v>5</v>
      </c>
    </row>
    <row r="5">
      <c r="A5" s="2" t="inlineStr">
        <is>
          <t>BR-004</t>
        </is>
      </c>
      <c r="B5" s="2" t="inlineStr">
        <is>
          <t>پارس خودرو (گروه سایپا)</t>
        </is>
      </c>
      <c r="C5" s="2" t="inlineStr">
        <is>
          <t>ایران</t>
        </is>
      </c>
      <c r="D5" s="2" t="inlineStr">
        <is>
          <t>A — خودروساز داخلی</t>
        </is>
      </c>
      <c r="E5" s="2" t="inlineStr">
        <is>
          <t>CO-002</t>
        </is>
      </c>
      <c r="F5" s="2" t="inlineStr">
        <is>
          <t>سایپا</t>
        </is>
      </c>
      <c r="G5" s="2" t="inlineStr">
        <is>
          <t>سایپا</t>
        </is>
      </c>
      <c r="H5" s="2" t="inlineStr">
        <is>
          <t>پارس نوآ</t>
        </is>
      </c>
      <c r="I5" s="2" t="inlineStr">
        <is>
          <t>فعال</t>
        </is>
      </c>
      <c r="J5" s="2" t="inlineStr">
        <is>
          <t>EV-037</t>
        </is>
      </c>
      <c r="K5" s="2" t="inlineStr">
        <is>
          <t>بررسی انجام شده؛ کمپین تأییدشده پیدا نشد</t>
        </is>
      </c>
      <c r="L5" s="2" t="n">
        <v>0</v>
      </c>
      <c r="M5" s="2" t="n">
        <v>1</v>
      </c>
    </row>
    <row r="6">
      <c r="A6" s="2" t="inlineStr">
        <is>
          <t>BR-005</t>
        </is>
      </c>
      <c r="B6" s="2" t="inlineStr">
        <is>
          <t>زامیاد / سایپا دیزل / ایران خودرو دیزل (تجاری)</t>
        </is>
      </c>
      <c r="C6" s="2" t="inlineStr">
        <is>
          <t>ایران</t>
        </is>
      </c>
      <c r="D6" s="2" t="inlineStr">
        <is>
          <t>A — خودروساز داخلی</t>
        </is>
      </c>
      <c r="E6" s="2" t="inlineStr">
        <is>
          <t>CO-001;CO-002</t>
        </is>
      </c>
      <c r="F6" s="2" t="inlineStr">
        <is>
          <t>ایران خودرو؛ سایپا</t>
        </is>
      </c>
      <c r="G6" s="2" t="inlineStr">
        <is>
          <t>نامشخص</t>
        </is>
      </c>
      <c r="H6" s="2" t="inlineStr">
        <is>
          <t>زامیاد Z25 (رونمایی ۳۱ شهریور ۱۴۰۵)؛ تجاری‌های ایران خودرو (سریر، فوتون، میلر)</t>
        </is>
      </c>
      <c r="I6" s="2" t="inlineStr">
        <is>
          <t>فعال</t>
        </is>
      </c>
      <c r="J6" s="2" t="inlineStr">
        <is>
          <t>EV-120;EV-129</t>
        </is>
      </c>
      <c r="K6" s="2" t="inlineStr">
        <is>
          <t>بررسی ناقص به دلیل محدودیت منابع</t>
        </is>
      </c>
      <c r="L6" s="2" t="n">
        <v>0</v>
      </c>
      <c r="M6" s="2" t="n">
        <v>0</v>
      </c>
    </row>
    <row r="7">
      <c r="A7" s="2" t="inlineStr">
        <is>
          <t>BR-006</t>
        </is>
      </c>
      <c r="B7" s="2" t="inlineStr">
        <is>
          <t>MVM</t>
        </is>
      </c>
      <c r="C7" s="2" t="inlineStr">
        <is>
          <t>چین (چری) / مونتاژ ایران</t>
        </is>
      </c>
      <c r="D7" s="2" t="inlineStr">
        <is>
          <t>B — مونتاژی</t>
        </is>
      </c>
      <c r="E7" s="2" t="inlineStr">
        <is>
          <t>CO-003</t>
        </is>
      </c>
      <c r="F7" s="2" t="inlineStr">
        <is>
          <t>مدیران خودرو</t>
        </is>
      </c>
      <c r="G7" s="2" t="inlineStr">
        <is>
          <t>مدیران خودرو</t>
        </is>
      </c>
      <c r="H7" s="2" t="inlineStr">
        <is>
          <t>X33 Cross، X55 Pro IE</t>
        </is>
      </c>
      <c r="I7" s="2" t="inlineStr">
        <is>
          <t>فعال</t>
        </is>
      </c>
      <c r="J7" s="2" t="inlineStr">
        <is>
          <t>EV-040;EV-041;EV-042</t>
        </is>
      </c>
      <c r="K7" s="2" t="inlineStr">
        <is>
          <t>بررسی انجام شده؛ کمپین تأییدشده پیدا نشد (فقط طرح فروش)</t>
        </is>
      </c>
      <c r="L7" s="2" t="n">
        <v>0</v>
      </c>
      <c r="M7" s="2" t="n">
        <v>3</v>
      </c>
    </row>
    <row r="8">
      <c r="A8" s="2" t="inlineStr">
        <is>
          <t>BR-007</t>
        </is>
      </c>
      <c r="B8" s="2" t="inlineStr">
        <is>
          <t>FOWNIX / Fownix NEV</t>
        </is>
      </c>
      <c r="C8" s="2" t="inlineStr">
        <is>
          <t>چین (چری) / مونتاژ ایران</t>
        </is>
      </c>
      <c r="D8" s="2" t="inlineStr">
        <is>
          <t>B — مونتاژی</t>
        </is>
      </c>
      <c r="E8" s="2" t="inlineStr">
        <is>
          <t>CO-003</t>
        </is>
      </c>
      <c r="F8" s="2" t="inlineStr">
        <is>
          <t>مدیران خودرو</t>
        </is>
      </c>
      <c r="G8" s="2" t="inlineStr">
        <is>
          <t>مدیران خودرو</t>
        </is>
      </c>
      <c r="H8" s="2" t="inlineStr">
        <is>
          <t>F7 Pro Max، F8 Pro Max IE، تیگو ۷/۸ پرو e+، FX، آریزو ۵</t>
        </is>
      </c>
      <c r="I8" s="2" t="inlineStr">
        <is>
          <t>فعال</t>
        </is>
      </c>
      <c r="J8" s="2" t="inlineStr">
        <is>
          <t>EV-040;EV-041;EV-043</t>
        </is>
      </c>
      <c r="K8" s="2" t="inlineStr">
        <is>
          <t>بررسی انجام شده؛ کمپین پیدا شد</t>
        </is>
      </c>
      <c r="L8" s="2" t="n">
        <v>1</v>
      </c>
      <c r="M8" s="2" t="n">
        <v>3</v>
      </c>
    </row>
    <row r="9">
      <c r="A9" s="2" t="inlineStr">
        <is>
          <t>BR-008</t>
        </is>
      </c>
      <c r="B9" s="2" t="inlineStr">
        <is>
          <t>XTRIM (EXEED)</t>
        </is>
      </c>
      <c r="C9" s="2" t="inlineStr">
        <is>
          <t>چین (چری) / مونتاژ ایران</t>
        </is>
      </c>
      <c r="D9" s="2" t="inlineStr">
        <is>
          <t>B — مونتاژی</t>
        </is>
      </c>
      <c r="E9" s="2" t="inlineStr">
        <is>
          <t>CO-003</t>
        </is>
      </c>
      <c r="F9" s="2" t="inlineStr">
        <is>
          <t>مدیران خودرو</t>
        </is>
      </c>
      <c r="G9" s="2" t="inlineStr">
        <is>
          <t>مدیران خودرو</t>
        </is>
      </c>
      <c r="H9" s="2" t="inlineStr">
        <is>
          <t>LX، TXL/TX، VX/QX</t>
        </is>
      </c>
      <c r="I9" s="2" t="inlineStr">
        <is>
          <t>فعال</t>
        </is>
      </c>
      <c r="J9" s="2" t="inlineStr">
        <is>
          <t>EV-041;EV-044</t>
        </is>
      </c>
      <c r="K9" s="2" t="inlineStr">
        <is>
          <t>بررسی ناقص به دلیل محدودیت منابع</t>
        </is>
      </c>
      <c r="L9" s="2" t="n">
        <v>0</v>
      </c>
      <c r="M9" s="2" t="n">
        <v>2</v>
      </c>
    </row>
    <row r="10">
      <c r="A10" s="2" t="inlineStr">
        <is>
          <t>BR-009</t>
        </is>
      </c>
      <c r="B10" s="2" t="inlineStr">
        <is>
          <t>KMC</t>
        </is>
      </c>
      <c r="C10" s="2" t="inlineStr">
        <is>
          <t>چین (پایه JAC و دیگران) / مونتاژ ایران</t>
        </is>
      </c>
      <c r="D10" s="2" t="inlineStr">
        <is>
          <t>B — مونتاژی</t>
        </is>
      </c>
      <c r="E10" s="2" t="inlineStr">
        <is>
          <t>CO-004</t>
        </is>
      </c>
      <c r="F10" s="2" t="inlineStr">
        <is>
          <t>کرمان موتور</t>
        </is>
      </c>
      <c r="G10" s="2" t="inlineStr">
        <is>
          <t>کرمان موتور</t>
        </is>
      </c>
      <c r="H10" s="2" t="inlineStr">
        <is>
          <t>J7، X5، T8، T9، Eagle، SR3</t>
        </is>
      </c>
      <c r="I10" s="2" t="inlineStr">
        <is>
          <t>فعال</t>
        </is>
      </c>
      <c r="J10" s="2" t="inlineStr">
        <is>
          <t>EV-050;EV-051;EV-052</t>
        </is>
      </c>
      <c r="K10" s="2" t="inlineStr">
        <is>
          <t>بررسی انجام شده؛ کمپین تأییدشده پیدا نشد (فقط طرح فروش)</t>
        </is>
      </c>
      <c r="L10" s="2" t="n">
        <v>0</v>
      </c>
      <c r="M10" s="2" t="n">
        <v>3</v>
      </c>
    </row>
    <row r="11">
      <c r="A11" s="2" t="inlineStr">
        <is>
          <t>BR-010</t>
        </is>
      </c>
      <c r="B11" s="2" t="inlineStr">
        <is>
          <t>JAC</t>
        </is>
      </c>
      <c r="C11" s="2" t="inlineStr">
        <is>
          <t>چین / مونتاژ ایران</t>
        </is>
      </c>
      <c r="D11" s="2" t="inlineStr">
        <is>
          <t>B — مونتاژی</t>
        </is>
      </c>
      <c r="E11" s="2" t="inlineStr">
        <is>
          <t>CO-004</t>
        </is>
      </c>
      <c r="F11" s="2" t="inlineStr">
        <is>
          <t>کرمان موتور</t>
        </is>
      </c>
      <c r="G11" s="2" t="inlineStr">
        <is>
          <t>کرمان موتور</t>
        </is>
      </c>
      <c r="H11" s="2" t="inlineStr">
        <is>
          <t>J4، Sr3</t>
        </is>
      </c>
      <c r="I11" s="2" t="inlineStr">
        <is>
          <t>فعال</t>
        </is>
      </c>
      <c r="J11" s="2" t="inlineStr">
        <is>
          <t>EV-050</t>
        </is>
      </c>
      <c r="K11" s="2" t="inlineStr">
        <is>
          <t>بررسی انجام شده؛ کمپین تأییدشده پیدا نشد</t>
        </is>
      </c>
      <c r="L11" s="2" t="n">
        <v>0</v>
      </c>
      <c r="M11" s="2" t="n">
        <v>2</v>
      </c>
    </row>
    <row r="12">
      <c r="A12" s="2" t="inlineStr">
        <is>
          <t>BR-011</t>
        </is>
      </c>
      <c r="B12" s="2" t="inlineStr">
        <is>
          <t>Hyundai</t>
        </is>
      </c>
      <c r="C12" s="2" t="inlineStr">
        <is>
          <t>کره جنوبی</t>
        </is>
      </c>
      <c r="D12" s="2" t="inlineStr">
        <is>
          <t>C — وارداتی</t>
        </is>
      </c>
      <c r="E12" s="2" t="inlineStr">
        <is>
          <t>CO-004;CO-011</t>
        </is>
      </c>
      <c r="F12" s="2" t="inlineStr">
        <is>
          <t>کرمان موتور؛ هرمس خودرو</t>
        </is>
      </c>
      <c r="G12" s="2" t="inlineStr">
        <is>
          <t>کرمان موتور؛ هرمس خودرو</t>
        </is>
      </c>
      <c r="H12" s="2" t="inlineStr">
        <is>
          <t>آزرا ۲۰۲۶، کونا، النترا، توسان، پالیسید</t>
        </is>
      </c>
      <c r="I12" s="2" t="inlineStr">
        <is>
          <t>فعال</t>
        </is>
      </c>
      <c r="J12" s="2" t="inlineStr">
        <is>
          <t>EV-053;EV-070;EV-087</t>
        </is>
      </c>
      <c r="K12" s="2" t="inlineStr">
        <is>
          <t>بررسی انجام شده؛ کمپین پیدا شد</t>
        </is>
      </c>
      <c r="L12" s="2" t="n">
        <v>2</v>
      </c>
      <c r="M12" s="2" t="n">
        <v>3</v>
      </c>
    </row>
    <row r="13">
      <c r="A13" s="2" t="inlineStr">
        <is>
          <t>BR-012</t>
        </is>
      </c>
      <c r="B13" s="2" t="inlineStr">
        <is>
          <t>Kia</t>
        </is>
      </c>
      <c r="C13" s="2" t="inlineStr">
        <is>
          <t>کره جنوبی</t>
        </is>
      </c>
      <c r="D13" s="2" t="inlineStr">
        <is>
          <t>C — وارداتی</t>
        </is>
      </c>
      <c r="E13" s="2" t="inlineStr">
        <is>
          <t>CO-011</t>
        </is>
      </c>
      <c r="F13" s="2" t="inlineStr">
        <is>
          <t>هرمس خودرو</t>
        </is>
      </c>
      <c r="G13" s="2" t="inlineStr">
        <is>
          <t>هرمس خودرو</t>
        </is>
      </c>
      <c r="H13" s="2" t="inlineStr">
        <is>
          <t>اسپورتیج، K3، K4</t>
        </is>
      </c>
      <c r="I13" s="2" t="inlineStr">
        <is>
          <t>فعال</t>
        </is>
      </c>
      <c r="J13" s="2" t="inlineStr">
        <is>
          <t>EV-070;EV-071;EV-087</t>
        </is>
      </c>
      <c r="K13" s="2" t="inlineStr">
        <is>
          <t>بررسی انجام شده؛ کمپین پیدا شد</t>
        </is>
      </c>
      <c r="L13" s="2" t="n">
        <v>1</v>
      </c>
      <c r="M13" s="2" t="n">
        <v>3</v>
      </c>
    </row>
    <row r="14">
      <c r="A14" s="2" t="inlineStr">
        <is>
          <t>BR-013</t>
        </is>
      </c>
      <c r="B14" s="2" t="inlineStr">
        <is>
          <t>Fidelity / Dignity / Respect (برندهای گروه بهمن)</t>
        </is>
      </c>
      <c r="C14" s="2" t="inlineStr">
        <is>
          <t>چین (پایه) / مونتاژ ایران</t>
        </is>
      </c>
      <c r="D14" s="2" t="inlineStr">
        <is>
          <t>B — مونتاژی</t>
        </is>
      </c>
      <c r="E14" s="2" t="inlineStr">
        <is>
          <t>CO-005</t>
        </is>
      </c>
      <c r="F14" s="2" t="inlineStr">
        <is>
          <t>گروه بهمن (بهمن موتور / بی‌ام‌کارز)</t>
        </is>
      </c>
      <c r="G14" s="2" t="inlineStr">
        <is>
          <t>گروه بهمن</t>
        </is>
      </c>
      <c r="H14" s="2" t="inlineStr">
        <is>
          <t>فیدلیتی، دیگنیتی، ریسپکت ۲، ریسپکت پرایم</t>
        </is>
      </c>
      <c r="I14" s="2" t="inlineStr">
        <is>
          <t>فعال</t>
        </is>
      </c>
      <c r="J14" s="2" t="inlineStr">
        <is>
          <t>EV-060;EV-061;EV-062</t>
        </is>
      </c>
      <c r="K14" s="2" t="inlineStr">
        <is>
          <t>بررسی انجام شده؛ کمپین پیدا شد</t>
        </is>
      </c>
      <c r="L14" s="2" t="n">
        <v>2</v>
      </c>
      <c r="M14" s="2" t="n">
        <v>2</v>
      </c>
    </row>
    <row r="15">
      <c r="A15" s="2" t="inlineStr">
        <is>
          <t>BR-014</t>
        </is>
      </c>
      <c r="B15" s="2" t="inlineStr">
        <is>
          <t>Bestune</t>
        </is>
      </c>
      <c r="C15" s="2" t="inlineStr">
        <is>
          <t>چین (FAW)</t>
        </is>
      </c>
      <c r="D15" s="2" t="inlineStr">
        <is>
          <t>B — مونتاژی</t>
        </is>
      </c>
      <c r="E15" s="2" t="inlineStr">
        <is>
          <t>CO-005</t>
        </is>
      </c>
      <c r="F15" s="2" t="inlineStr">
        <is>
          <t>گروه بهمن (بهمن موتور / بی‌ام‌کارز)</t>
        </is>
      </c>
      <c r="G15" s="2" t="inlineStr">
        <is>
          <t>بی‌ام‌کارز (گروه بهمن)</t>
        </is>
      </c>
      <c r="H15" s="2" t="inlineStr">
        <is>
          <t>T77</t>
        </is>
      </c>
      <c r="I15" s="2" t="inlineStr">
        <is>
          <t>نامشخص</t>
        </is>
      </c>
      <c r="J15" s="2" t="inlineStr">
        <is>
          <t>—</t>
        </is>
      </c>
      <c r="K15" s="2" t="inlineStr">
        <is>
          <t>بررسی انجام شده؛ کمپین تأییدشده پیدا نشد</t>
        </is>
      </c>
      <c r="L15" s="2" t="n">
        <v>0</v>
      </c>
      <c r="M15" s="2" t="n">
        <v>0</v>
      </c>
    </row>
    <row r="16">
      <c r="A16" s="2" t="inlineStr">
        <is>
          <t>BR-015</t>
        </is>
      </c>
      <c r="B16" s="2" t="inlineStr">
        <is>
          <t>Haval / Shavaal</t>
        </is>
      </c>
      <c r="C16" s="2" t="inlineStr">
        <is>
          <t>چین (GWM)</t>
        </is>
      </c>
      <c r="D16" s="2" t="inlineStr">
        <is>
          <t>B — مونتاژی</t>
        </is>
      </c>
      <c r="E16" s="2" t="inlineStr">
        <is>
          <t>CO-005</t>
        </is>
      </c>
      <c r="F16" s="2" t="inlineStr">
        <is>
          <t>گروه بهمن (بهمن موتور / بی‌ام‌کارز)</t>
        </is>
      </c>
      <c r="G16" s="2" t="inlineStr">
        <is>
          <t>گروه بهمن</t>
        </is>
      </c>
      <c r="H16" s="2" t="inlineStr">
        <is>
          <t>هاوال H6 هیبرید / شوال ۶</t>
        </is>
      </c>
      <c r="I16" s="2" t="inlineStr">
        <is>
          <t>فعال</t>
        </is>
      </c>
      <c r="J16" s="2" t="inlineStr">
        <is>
          <t>EV-063</t>
        </is>
      </c>
      <c r="K16" s="2" t="inlineStr">
        <is>
          <t>بررسی انجام شده؛ کمپین پیدا شد</t>
        </is>
      </c>
      <c r="L16" s="2" t="n">
        <v>1</v>
      </c>
      <c r="M16" s="2" t="n">
        <v>1</v>
      </c>
    </row>
    <row r="17">
      <c r="A17" s="2" t="inlineStr">
        <is>
          <t>BR-016</t>
        </is>
      </c>
      <c r="B17" s="2" t="inlineStr">
        <is>
          <t>Renault</t>
        </is>
      </c>
      <c r="C17" s="2" t="inlineStr">
        <is>
          <t>فرانسه</t>
        </is>
      </c>
      <c r="D17" s="2" t="inlineStr">
        <is>
          <t>C — وارداتی</t>
        </is>
      </c>
      <c r="E17" s="2" t="inlineStr">
        <is>
          <t>CO-006</t>
        </is>
      </c>
      <c r="F17" s="2" t="inlineStr">
        <is>
          <t>ماموت خودرو</t>
        </is>
      </c>
      <c r="G17" s="2" t="inlineStr">
        <is>
          <t>ماموت خودرو</t>
        </is>
      </c>
      <c r="H17" s="2" t="inlineStr">
        <is>
          <t>گرند کولئوس نسل جدید</t>
        </is>
      </c>
      <c r="I17" s="2" t="inlineStr">
        <is>
          <t>فعال</t>
        </is>
      </c>
      <c r="J17" s="2" t="inlineStr">
        <is>
          <t>EV-080</t>
        </is>
      </c>
      <c r="K17" s="2" t="inlineStr">
        <is>
          <t>بررسی انجام شده؛ کمپین پیدا شد</t>
        </is>
      </c>
      <c r="L17" s="2" t="n">
        <v>1</v>
      </c>
      <c r="M17" s="2" t="n">
        <v>1</v>
      </c>
    </row>
    <row r="18">
      <c r="A18" s="2" t="inlineStr">
        <is>
          <t>BR-017</t>
        </is>
      </c>
      <c r="B18" s="2" t="inlineStr">
        <is>
          <t>ERES (SERES) / AITO</t>
        </is>
      </c>
      <c r="C18" s="2" t="inlineStr">
        <is>
          <t>چین</t>
        </is>
      </c>
      <c r="D18" s="2" t="inlineStr">
        <is>
          <t>B — مونتاژی</t>
        </is>
      </c>
      <c r="E18" s="2" t="inlineStr">
        <is>
          <t>CO-006</t>
        </is>
      </c>
      <c r="F18" s="2" t="inlineStr">
        <is>
          <t>ماموت خودرو</t>
        </is>
      </c>
      <c r="G18" s="2" t="inlineStr">
        <is>
          <t>ماموت خودرو</t>
        </is>
      </c>
      <c r="H18" s="2" t="inlineStr">
        <is>
          <t>HM5، M5، M7، آیتو M6</t>
        </is>
      </c>
      <c r="I18" s="2" t="inlineStr">
        <is>
          <t>فعال</t>
        </is>
      </c>
      <c r="J18" s="2" t="inlineStr">
        <is>
          <t>EV-080;EV-081</t>
        </is>
      </c>
      <c r="K18" s="2" t="inlineStr">
        <is>
          <t>بررسی انجام شده؛ کمپین پیدا شد</t>
        </is>
      </c>
      <c r="L18" s="2" t="n">
        <v>2</v>
      </c>
      <c r="M18" s="2" t="n">
        <v>0</v>
      </c>
    </row>
    <row r="19">
      <c r="A19" s="2" t="inlineStr">
        <is>
          <t>BR-018</t>
        </is>
      </c>
      <c r="B19" s="2" t="inlineStr">
        <is>
          <t>Lukano (مکث موتور)</t>
        </is>
      </c>
      <c r="C19" s="2" t="inlineStr">
        <is>
          <t>چین (پایه)</t>
        </is>
      </c>
      <c r="D19" s="2" t="inlineStr">
        <is>
          <t>B — مونتاژی</t>
        </is>
      </c>
      <c r="E19" s="2" t="inlineStr">
        <is>
          <t>CO-007</t>
        </is>
      </c>
      <c r="F19" s="2" t="inlineStr">
        <is>
          <t>مکث موتور</t>
        </is>
      </c>
      <c r="G19" s="2" t="inlineStr">
        <is>
          <t>مکث موتور</t>
        </is>
      </c>
      <c r="H19" s="2" t="inlineStr">
        <is>
          <t>L7، L8 پلاگین‌هیبرید</t>
        </is>
      </c>
      <c r="I19" s="2" t="inlineStr">
        <is>
          <t>فعال</t>
        </is>
      </c>
      <c r="J19" s="2" t="inlineStr">
        <is>
          <t>EV-082</t>
        </is>
      </c>
      <c r="K19" s="2" t="inlineStr">
        <is>
          <t>بررسی انجام شده؛ کمپین پیدا شد</t>
        </is>
      </c>
      <c r="L19" s="2" t="n">
        <v>1</v>
      </c>
      <c r="M19" s="2" t="n">
        <v>0</v>
      </c>
    </row>
    <row r="20">
      <c r="A20" s="2" t="inlineStr">
        <is>
          <t>BR-019</t>
        </is>
      </c>
      <c r="B20" s="2" t="inlineStr">
        <is>
          <t>Lamari</t>
        </is>
      </c>
      <c r="C20" s="2" t="inlineStr">
        <is>
          <t>چین (دانگ‌فنگ) / مونتاژ ایران</t>
        </is>
      </c>
      <c r="D20" s="2" t="inlineStr">
        <is>
          <t>B — مونتاژی</t>
        </is>
      </c>
      <c r="E20" s="2" t="inlineStr">
        <is>
          <t>CO-008</t>
        </is>
      </c>
      <c r="F20" s="2" t="inlineStr">
        <is>
          <t>آرین موتور / آرین پارس موتور / آرینا درایو</t>
        </is>
      </c>
      <c r="G20" s="2" t="inlineStr">
        <is>
          <t>آرین موتور</t>
        </is>
      </c>
      <c r="H20" s="2" t="inlineStr">
        <is>
          <t>ایما، ایما هیبرید</t>
        </is>
      </c>
      <c r="I20" s="2" t="inlineStr">
        <is>
          <t>فعال</t>
        </is>
      </c>
      <c r="J20" s="2" t="inlineStr">
        <is>
          <t>EV-090;EV-091</t>
        </is>
      </c>
      <c r="K20" s="2" t="inlineStr">
        <is>
          <t>بررسی انجام شده؛ کمپین پیدا شد</t>
        </is>
      </c>
      <c r="L20" s="2" t="n">
        <v>1</v>
      </c>
      <c r="M20" s="2" t="n">
        <v>1</v>
      </c>
    </row>
    <row r="21">
      <c r="A21" s="2" t="inlineStr">
        <is>
          <t>BR-020</t>
        </is>
      </c>
      <c r="B21" s="2" t="inlineStr">
        <is>
          <t>Changan</t>
        </is>
      </c>
      <c r="C21" s="2" t="inlineStr">
        <is>
          <t>چین</t>
        </is>
      </c>
      <c r="D21" s="2" t="inlineStr">
        <is>
          <t>B — مونتاژی</t>
        </is>
      </c>
      <c r="E21" s="2" t="inlineStr">
        <is>
          <t>CO-002;CO-008</t>
        </is>
      </c>
      <c r="F21" s="2" t="inlineStr">
        <is>
          <t>سایپا؛ آرین موتور / آرین پارس موتور / آرینا درایو</t>
        </is>
      </c>
      <c r="G21" s="2" t="inlineStr">
        <is>
          <t>سایپا (مونتاژ)؛ آرین موتور/آرینا درایو (واردات)</t>
        </is>
      </c>
      <c r="H21" s="2" t="inlineStr">
        <is>
          <t>CS35، CS55 Plus، UNI-T</t>
        </is>
      </c>
      <c r="I21" s="2" t="inlineStr">
        <is>
          <t>فعال</t>
        </is>
      </c>
      <c r="J21" s="2" t="inlineStr">
        <is>
          <t>EV-034;EV-092</t>
        </is>
      </c>
      <c r="K21" s="2" t="inlineStr">
        <is>
          <t>بررسی انجام شده؛ کمپین تأییدشده پیدا نشد (فقط طرح فروش)</t>
        </is>
      </c>
      <c r="L21" s="2" t="n">
        <v>0</v>
      </c>
      <c r="M21" s="2" t="n">
        <v>2</v>
      </c>
    </row>
    <row r="22">
      <c r="A22" s="2" t="inlineStr">
        <is>
          <t>BR-021</t>
        </is>
      </c>
      <c r="B22" s="2" t="inlineStr">
        <is>
          <t>Tisan (ری‌بج Jetour)</t>
        </is>
      </c>
      <c r="C22" s="2" t="inlineStr">
        <is>
          <t>چین (Jetour)</t>
        </is>
      </c>
      <c r="D22" s="2" t="inlineStr">
        <is>
          <t>B — مونتاژی</t>
        </is>
      </c>
      <c r="E22" s="2" t="inlineStr">
        <is>
          <t>CO-009</t>
        </is>
      </c>
      <c r="F22" s="2" t="inlineStr">
        <is>
          <t>تیگارد موتور</t>
        </is>
      </c>
      <c r="G22" s="2" t="inlineStr">
        <is>
          <t>تیگارد موتور</t>
        </is>
      </c>
      <c r="H22" s="2" t="inlineStr">
        <is>
          <t>T1/T01، T2، G700، S05</t>
        </is>
      </c>
      <c r="I22" s="2" t="inlineStr">
        <is>
          <t>فعال</t>
        </is>
      </c>
      <c r="J22" s="2" t="inlineStr">
        <is>
          <t>EV-100;EV-101;EV-102</t>
        </is>
      </c>
      <c r="K22" s="2" t="inlineStr">
        <is>
          <t>بررسی انجام شده؛ کمپین پیدا شد</t>
        </is>
      </c>
      <c r="L22" s="2" t="n">
        <v>3</v>
      </c>
      <c r="M22" s="2" t="n">
        <v>0</v>
      </c>
    </row>
    <row r="23">
      <c r="A23" s="2" t="inlineStr">
        <is>
          <t>BR-022</t>
        </is>
      </c>
      <c r="B23" s="2" t="inlineStr">
        <is>
          <t>BYD</t>
        </is>
      </c>
      <c r="C23" s="2" t="inlineStr">
        <is>
          <t>چین</t>
        </is>
      </c>
      <c r="D23" s="2" t="inlineStr">
        <is>
          <t>C — وارداتی</t>
        </is>
      </c>
      <c r="E23" s="2" t="inlineStr">
        <is>
          <t>CO-009;CO-010;CO-004</t>
        </is>
      </c>
      <c r="F23" s="2" t="inlineStr">
        <is>
          <t>تیگارد موتور؛ بی‌وای‌دی علی؛ کرمان موتور</t>
        </is>
      </c>
      <c r="G23" s="2" t="inlineStr">
        <is>
          <t>تیگارد موتور؛ بی‌وای‌دی علی؛ کرمان موتور (مونتاژ F3/S6)</t>
        </is>
      </c>
      <c r="H23" s="2" t="inlineStr">
        <is>
          <t>سانگ پلاس، چین ال/پلاس، هان، سیل ۰۶</t>
        </is>
      </c>
      <c r="I23" s="2" t="inlineStr">
        <is>
          <t>فعال</t>
        </is>
      </c>
      <c r="J23" s="2" t="inlineStr">
        <is>
          <t>EV-103;EV-104</t>
        </is>
      </c>
      <c r="K23" s="2" t="inlineStr">
        <is>
          <t>بررسی انجام شده؛ کمپین تأییدشده پیدا نشد (فقط طرح فروش)</t>
        </is>
      </c>
      <c r="L23" s="2" t="n">
        <v>0</v>
      </c>
      <c r="M23" s="2" t="n">
        <v>3</v>
      </c>
    </row>
    <row r="24">
      <c r="A24" s="2" t="inlineStr">
        <is>
          <t>BR-023</t>
        </is>
      </c>
      <c r="B24" s="2" t="inlineStr">
        <is>
          <t>Citroën</t>
        </is>
      </c>
      <c r="C24" s="2" t="inlineStr">
        <is>
          <t>فرانسه</t>
        </is>
      </c>
      <c r="D24" s="2" t="inlineStr">
        <is>
          <t>B — مونتاژی</t>
        </is>
      </c>
      <c r="E24" s="2" t="inlineStr">
        <is>
          <t>CO-002</t>
        </is>
      </c>
      <c r="F24" s="2" t="inlineStr">
        <is>
          <t>سایپا</t>
        </is>
      </c>
      <c r="G24" s="2" t="inlineStr">
        <is>
          <t>سایپا</t>
        </is>
      </c>
      <c r="H24" s="2" t="inlineStr">
        <is>
          <t>C3-XR</t>
        </is>
      </c>
      <c r="I24" s="2" t="inlineStr">
        <is>
          <t>فعال</t>
        </is>
      </c>
      <c r="J24" s="2" t="inlineStr">
        <is>
          <t>EV-036</t>
        </is>
      </c>
      <c r="K24" s="2" t="inlineStr">
        <is>
          <t>بررسی انجام شده؛ کمپین تأییدشده پیدا نشد (فقط طرح فروش)</t>
        </is>
      </c>
      <c r="L24" s="2" t="n">
        <v>0</v>
      </c>
      <c r="M24" s="2" t="n">
        <v>1</v>
      </c>
    </row>
    <row r="25">
      <c r="A25" s="2" t="inlineStr">
        <is>
          <t>BR-024</t>
        </is>
      </c>
      <c r="B25" s="2" t="inlineStr">
        <is>
          <t>Dongfeng</t>
        </is>
      </c>
      <c r="C25" s="2" t="inlineStr">
        <is>
          <t>چین</t>
        </is>
      </c>
      <c r="D25" s="2" t="inlineStr">
        <is>
          <t>B — مونتاژی</t>
        </is>
      </c>
      <c r="E25" s="2" t="inlineStr">
        <is>
          <t>CO-001;CO-008</t>
        </is>
      </c>
      <c r="F25" s="2" t="inlineStr">
        <is>
          <t>ایران خودرو؛ آرین موتور / آرین پارس موتور / آرینا درایو</t>
        </is>
      </c>
      <c r="G25" s="2" t="inlineStr">
        <is>
          <t>ایران خودرو؛ آرین پارس موتور</t>
        </is>
      </c>
      <c r="H25" s="2" t="inlineStr">
        <is>
          <t>Shine Max هیبرید</t>
        </is>
      </c>
      <c r="I25" s="2" t="inlineStr">
        <is>
          <t>فعال (اعلام ورود)</t>
        </is>
      </c>
      <c r="J25" s="2" t="inlineStr">
        <is>
          <t>EV-026</t>
        </is>
      </c>
      <c r="K25" s="2" t="inlineStr">
        <is>
          <t>بررسی انجام شده؛ کمپین تأییدشده پیدا نشد</t>
        </is>
      </c>
      <c r="L25" s="2" t="n">
        <v>0</v>
      </c>
      <c r="M25" s="2" t="n">
        <v>0</v>
      </c>
    </row>
    <row r="26">
      <c r="A26" s="2" t="inlineStr">
        <is>
          <t>BR-025</t>
        </is>
      </c>
      <c r="B26" s="2" t="inlineStr">
        <is>
          <t>Toyota</t>
        </is>
      </c>
      <c r="C26" s="2" t="inlineStr">
        <is>
          <t>ژاپن</t>
        </is>
      </c>
      <c r="D26" s="2" t="inlineStr">
        <is>
          <t>C — وارداتی</t>
        </is>
      </c>
      <c r="E26" s="2" t="inlineStr">
        <is>
          <t>CO-012</t>
        </is>
      </c>
      <c r="F26" s="2" t="inlineStr">
        <is>
          <t>یاسین موتور</t>
        </is>
      </c>
      <c r="G26" s="2" t="inlineStr">
        <is>
          <t>یاسین موتور</t>
        </is>
      </c>
      <c r="H26" s="2" t="inlineStr">
        <is>
          <t>کرولا کراس</t>
        </is>
      </c>
      <c r="I26" s="2" t="inlineStr">
        <is>
          <t>فعال</t>
        </is>
      </c>
      <c r="J26" s="2" t="inlineStr">
        <is>
          <t>EV-070;EV-072</t>
        </is>
      </c>
      <c r="K26" s="2" t="inlineStr">
        <is>
          <t>بررسی انجام شده؛ کمپین تأییدشده پیدا نشد</t>
        </is>
      </c>
      <c r="L26" s="2" t="n">
        <v>0</v>
      </c>
      <c r="M26" s="2" t="n">
        <v>2</v>
      </c>
    </row>
    <row r="27">
      <c r="A27" s="2" t="inlineStr">
        <is>
          <t>BR-026</t>
        </is>
      </c>
      <c r="B27" s="2" t="inlineStr">
        <is>
          <t>Nissan</t>
        </is>
      </c>
      <c r="C27" s="2" t="inlineStr">
        <is>
          <t>ژاپن</t>
        </is>
      </c>
      <c r="D27" s="2" t="inlineStr">
        <is>
          <t>C — وارداتی</t>
        </is>
      </c>
      <c r="E27" s="2" t="inlineStr">
        <is>
          <t>CO-013;CO-008</t>
        </is>
      </c>
      <c r="F27" s="2" t="inlineStr">
        <is>
          <t>نامی خودرو؛ آرین موتور / آرین پارس موتور / آرینا درایو</t>
        </is>
      </c>
      <c r="G27" s="2" t="inlineStr">
        <is>
          <t>نامی خودرو؛ آرینا درایو (آرین موتور)</t>
        </is>
      </c>
      <c r="H27" s="2" t="inlineStr">
        <is>
          <t>قشقایی ۲۰۲۶ (ساخت انگلستان)</t>
        </is>
      </c>
      <c r="I27" s="2" t="inlineStr">
        <is>
          <t>فعال</t>
        </is>
      </c>
      <c r="J27" s="2" t="inlineStr">
        <is>
          <t>EV-083;EV-146</t>
        </is>
      </c>
      <c r="K27" s="2" t="inlineStr">
        <is>
          <t>بررسی انجام شده؛ کمپین پیدا شد</t>
        </is>
      </c>
      <c r="L27" s="2" t="n">
        <v>1</v>
      </c>
      <c r="M27" s="2" t="n">
        <v>1</v>
      </c>
    </row>
    <row r="28">
      <c r="A28" s="2" t="inlineStr">
        <is>
          <t>BR-027</t>
        </is>
      </c>
      <c r="B28" s="2" t="inlineStr">
        <is>
          <t>Opel</t>
        </is>
      </c>
      <c r="C28" s="2" t="inlineStr">
        <is>
          <t>آلمان</t>
        </is>
      </c>
      <c r="D28" s="2" t="inlineStr">
        <is>
          <t>C — وارداتی</t>
        </is>
      </c>
      <c r="E28" s="2" t="inlineStr">
        <is>
          <t>CO-014</t>
        </is>
      </c>
      <c r="F28" s="2" t="inlineStr">
        <is>
          <t>سیکاس خودرو</t>
        </is>
      </c>
      <c r="G28" s="2" t="inlineStr">
        <is>
          <t>سیکاس خودرو</t>
        </is>
      </c>
      <c r="H28" s="2" t="inlineStr">
        <is>
          <t>موکا بنزینی و برقی</t>
        </is>
      </c>
      <c r="I28" s="2" t="inlineStr">
        <is>
          <t>فعال</t>
        </is>
      </c>
      <c r="J28" s="2" t="inlineStr">
        <is>
          <t>EV-084</t>
        </is>
      </c>
      <c r="K28" s="2" t="inlineStr">
        <is>
          <t>بررسی انجام شده؛ کمپین پیدا شد</t>
        </is>
      </c>
      <c r="L28" s="2" t="n">
        <v>1</v>
      </c>
      <c r="M28" s="2" t="n">
        <v>0</v>
      </c>
    </row>
    <row r="29">
      <c r="A29" s="2" t="inlineStr">
        <is>
          <t>BR-028</t>
        </is>
      </c>
      <c r="B29" s="2" t="inlineStr">
        <is>
          <t>Mazda</t>
        </is>
      </c>
      <c r="C29" s="2" t="inlineStr">
        <is>
          <t>ژاپن</t>
        </is>
      </c>
      <c r="D29" s="2" t="inlineStr">
        <is>
          <t>C — وارداتی</t>
        </is>
      </c>
      <c r="E29" s="2" t="inlineStr">
        <is>
          <t>CO-015;CO-016</t>
        </is>
      </c>
      <c r="F29" s="2" t="inlineStr">
        <is>
          <t>آفتاب خودرو؛ معین خودرو</t>
        </is>
      </c>
      <c r="G29" s="2" t="inlineStr">
        <is>
          <t>آفتاب خودرو؛ معین خودرو</t>
        </is>
      </c>
      <c r="H29" s="2" t="inlineStr">
        <is>
          <t>CX-90، CX-30، CX-50، مزدا ۳، EZ-6، EZ-60</t>
        </is>
      </c>
      <c r="I29" s="2" t="inlineStr">
        <is>
          <t>فعال</t>
        </is>
      </c>
      <c r="J29" s="2" t="inlineStr">
        <is>
          <t>EV-085;EV-086</t>
        </is>
      </c>
      <c r="K29" s="2" t="inlineStr">
        <is>
          <t>بررسی انجام شده؛ کمپین پیدا شد</t>
        </is>
      </c>
      <c r="L29" s="2" t="n">
        <v>2</v>
      </c>
      <c r="M29" s="2" t="n">
        <v>0</v>
      </c>
    </row>
    <row r="30">
      <c r="A30" s="2" t="inlineStr">
        <is>
          <t>BR-029</t>
        </is>
      </c>
      <c r="B30" s="2" t="inlineStr">
        <is>
          <t>Volvo</t>
        </is>
      </c>
      <c r="C30" s="2" t="inlineStr">
        <is>
          <t>سوئد</t>
        </is>
      </c>
      <c r="D30" s="2" t="inlineStr">
        <is>
          <t>C — وارداتی</t>
        </is>
      </c>
      <c r="E30" s="2" t="inlineStr">
        <is>
          <t>CO-015</t>
        </is>
      </c>
      <c r="F30" s="2" t="inlineStr">
        <is>
          <t>آفتاب خودرو</t>
        </is>
      </c>
      <c r="G30" s="2" t="inlineStr">
        <is>
          <t>آفتاب خودرو</t>
        </is>
      </c>
      <c r="H30" s="2" t="inlineStr">
        <is>
          <t>XC90، XC70، XC60، S90، EX30 CC</t>
        </is>
      </c>
      <c r="I30" s="2" t="inlineStr">
        <is>
          <t>فعال</t>
        </is>
      </c>
      <c r="J30" s="2" t="inlineStr">
        <is>
          <t>EV-085</t>
        </is>
      </c>
      <c r="K30" s="2" t="inlineStr">
        <is>
          <t>بررسی انجام شده؛ کمپین پیدا شد</t>
        </is>
      </c>
      <c r="L30" s="2" t="n">
        <v>1</v>
      </c>
      <c r="M30" s="2" t="n">
        <v>0</v>
      </c>
    </row>
    <row r="31">
      <c r="A31" s="2" t="inlineStr">
        <is>
          <t>BR-030</t>
        </is>
      </c>
      <c r="B31" s="2" t="inlineStr">
        <is>
          <t>Audi</t>
        </is>
      </c>
      <c r="C31" s="2" t="inlineStr">
        <is>
          <t>آلمان</t>
        </is>
      </c>
      <c r="D31" s="2" t="inlineStr">
        <is>
          <t>C — وارداتی</t>
        </is>
      </c>
      <c r="E31" s="2" t="inlineStr">
        <is>
          <t>CO-016</t>
        </is>
      </c>
      <c r="F31" s="2" t="inlineStr">
        <is>
          <t>معین خودرو</t>
        </is>
      </c>
      <c r="G31" s="2" t="inlineStr">
        <is>
          <t>معین خودرو</t>
        </is>
      </c>
      <c r="H31" s="2" t="inlineStr">
        <is>
          <t>Q4 e-tron، Q5 e-tron</t>
        </is>
      </c>
      <c r="I31" s="2" t="inlineStr">
        <is>
          <t>فعال</t>
        </is>
      </c>
      <c r="J31" s="2" t="inlineStr">
        <is>
          <t>EV-086</t>
        </is>
      </c>
      <c r="K31" s="2" t="inlineStr">
        <is>
          <t>بررسی انجام شده؛ کمپین پیدا شد</t>
        </is>
      </c>
      <c r="L31" s="2" t="n">
        <v>1</v>
      </c>
      <c r="M31" s="2" t="n">
        <v>0</v>
      </c>
    </row>
    <row r="32">
      <c r="A32" s="2" t="inlineStr">
        <is>
          <t>BR-031</t>
        </is>
      </c>
      <c r="B32" s="2" t="inlineStr">
        <is>
          <t>Mercedes-Benz</t>
        </is>
      </c>
      <c r="C32" s="2" t="inlineStr">
        <is>
          <t>آلمان</t>
        </is>
      </c>
      <c r="D32" s="2" t="inlineStr">
        <is>
          <t>C — وارداتی</t>
        </is>
      </c>
      <c r="E32" s="2" t="inlineStr">
        <is>
          <t>CO-001</t>
        </is>
      </c>
      <c r="F32" s="2" t="inlineStr">
        <is>
          <t>ایران خودرو</t>
        </is>
      </c>
      <c r="G32" s="2" t="inlineStr">
        <is>
          <t>ایران خودرو (بخش وارداتی)</t>
        </is>
      </c>
      <c r="H32" s="2" t="inlineStr">
        <is>
          <t>A200L، C200L</t>
        </is>
      </c>
      <c r="I32" s="2" t="inlineStr">
        <is>
          <t>فعال</t>
        </is>
      </c>
      <c r="J32" s="2" t="inlineStr">
        <is>
          <t>EV-020</t>
        </is>
      </c>
      <c r="K32" s="2" t="inlineStr">
        <is>
          <t>بررسی انجام شده؛ کمپین پیدا شد</t>
        </is>
      </c>
      <c r="L32" s="2" t="n">
        <v>1</v>
      </c>
      <c r="M32" s="2" t="n">
        <v>0</v>
      </c>
    </row>
    <row r="33">
      <c r="A33" s="2" t="inlineStr">
        <is>
          <t>BR-032</t>
        </is>
      </c>
      <c r="B33" s="2" t="inlineStr">
        <is>
          <t>Leapmotor / Tank (GWM)</t>
        </is>
      </c>
      <c r="C33" s="2" t="inlineStr">
        <is>
          <t>چین</t>
        </is>
      </c>
      <c r="D33" s="2" t="inlineStr">
        <is>
          <t>C — وارداتی</t>
        </is>
      </c>
      <c r="E33" s="2" t="inlineStr">
        <is>
          <t>CO-017</t>
        </is>
      </c>
      <c r="F33" s="2" t="inlineStr">
        <is>
          <t>شتابران خودرو</t>
        </is>
      </c>
      <c r="G33" s="2" t="inlineStr">
        <is>
          <t>شتابران خودرو</t>
        </is>
      </c>
      <c r="H33" s="2" t="inlineStr">
        <is>
          <t>۷ محصول از لیپ موتور تا تانک ۷۰۰</t>
        </is>
      </c>
      <c r="I33" s="2" t="inlineStr">
        <is>
          <t>فعال</t>
        </is>
      </c>
      <c r="J33" s="2" t="inlineStr">
        <is>
          <t>EV-088</t>
        </is>
      </c>
      <c r="K33" s="2" t="inlineStr">
        <is>
          <t>بررسی انجام شده؛ کمپین پیدا شد</t>
        </is>
      </c>
      <c r="L33" s="2" t="n">
        <v>1</v>
      </c>
      <c r="M33" s="2" t="n">
        <v>0</v>
      </c>
    </row>
    <row r="34">
      <c r="A34" s="2" t="inlineStr">
        <is>
          <t>BR-033</t>
        </is>
      </c>
      <c r="B34" s="2" t="inlineStr">
        <is>
          <t>Suzuki</t>
        </is>
      </c>
      <c r="C34" s="2" t="inlineStr">
        <is>
          <t>ژاپن</t>
        </is>
      </c>
      <c r="D34" s="2" t="inlineStr">
        <is>
          <t>C — وارداتی</t>
        </is>
      </c>
      <c r="E34" s="2" t="inlineStr">
        <is>
          <t>نامشخص</t>
        </is>
      </c>
      <c r="F34" s="2" t="inlineStr">
        <is>
          <t>نامشخص</t>
        </is>
      </c>
      <c r="G34" s="2" t="inlineStr">
        <is>
          <t>نامشخص</t>
        </is>
      </c>
      <c r="H34" s="2" t="inlineStr">
        <is>
          <t>جیمنی</t>
        </is>
      </c>
      <c r="I34" s="2" t="inlineStr">
        <is>
          <t>فعال</t>
        </is>
      </c>
      <c r="J34" s="2" t="inlineStr">
        <is>
          <t>EV-072</t>
        </is>
      </c>
      <c r="K34" s="2" t="inlineStr">
        <is>
          <t>بررسی انجام شده؛ کمپین تأییدشده پیدا نشد</t>
        </is>
      </c>
      <c r="L34" s="2" t="n">
        <v>0</v>
      </c>
      <c r="M34" s="2" t="n">
        <v>1</v>
      </c>
    </row>
    <row r="35">
      <c r="A35" s="2" t="inlineStr">
        <is>
          <t>BR-034</t>
        </is>
      </c>
      <c r="B35" s="2" t="inlineStr">
        <is>
          <t>Skywell</t>
        </is>
      </c>
      <c r="C35" s="2" t="inlineStr">
        <is>
          <t>چین</t>
        </is>
      </c>
      <c r="D35" s="2" t="inlineStr">
        <is>
          <t>C — وارداتی</t>
        </is>
      </c>
      <c r="E35" s="2" t="inlineStr">
        <is>
          <t>نامشخص</t>
        </is>
      </c>
      <c r="F35" s="2" t="inlineStr">
        <is>
          <t>نامشخص</t>
        </is>
      </c>
      <c r="G35" s="2" t="inlineStr">
        <is>
          <t>نامشخص</t>
        </is>
      </c>
      <c r="H35" s="2" t="inlineStr">
        <is>
          <t>نامشخص</t>
        </is>
      </c>
      <c r="I35" s="2" t="inlineStr">
        <is>
          <t>فعال</t>
        </is>
      </c>
      <c r="J35" s="2" t="inlineStr">
        <is>
          <t>EV-070</t>
        </is>
      </c>
      <c r="K35" s="2" t="inlineStr">
        <is>
          <t>بررسی انجام شده؛ کمپین تأییدشده پیدا نشد</t>
        </is>
      </c>
      <c r="L35" s="2" t="n">
        <v>0</v>
      </c>
      <c r="M35" s="2" t="n">
        <v>1</v>
      </c>
    </row>
    <row r="36">
      <c r="A36" s="2" t="inlineStr">
        <is>
          <t>BR-035</t>
        </is>
      </c>
      <c r="B36" s="2" t="inlineStr">
        <is>
          <t>Skoda</t>
        </is>
      </c>
      <c r="C36" s="2" t="inlineStr">
        <is>
          <t>چک</t>
        </is>
      </c>
      <c r="D36" s="2" t="inlineStr">
        <is>
          <t>C — وارداتی</t>
        </is>
      </c>
      <c r="E36" s="2" t="inlineStr">
        <is>
          <t>نامشخص</t>
        </is>
      </c>
      <c r="F36" s="2" t="inlineStr">
        <is>
          <t>نامشخص</t>
        </is>
      </c>
      <c r="G36" s="2" t="inlineStr">
        <is>
          <t>نامشخص</t>
        </is>
      </c>
      <c r="H36" s="2" t="inlineStr">
        <is>
          <t>نامشخص</t>
        </is>
      </c>
      <c r="I36" s="2" t="inlineStr">
        <is>
          <t>فعال</t>
        </is>
      </c>
      <c r="J36" s="2" t="inlineStr">
        <is>
          <t>EV-073</t>
        </is>
      </c>
      <c r="K36" s="2" t="inlineStr">
        <is>
          <t>بررسی انجام شده؛ کمپین تأییدشده پیدا نشد</t>
        </is>
      </c>
      <c r="L36" s="2" t="n">
        <v>0</v>
      </c>
      <c r="M36" s="2" t="n">
        <v>1</v>
      </c>
    </row>
    <row r="37">
      <c r="A37" s="2" t="inlineStr">
        <is>
          <t>BR-036</t>
        </is>
      </c>
      <c r="B37" s="2" t="inlineStr">
        <is>
          <t>Dacia</t>
        </is>
      </c>
      <c r="C37" s="2" t="inlineStr">
        <is>
          <t>رومانی</t>
        </is>
      </c>
      <c r="D37" s="2" t="inlineStr">
        <is>
          <t>C — وارداتی</t>
        </is>
      </c>
      <c r="E37" s="2" t="inlineStr">
        <is>
          <t>نامشخص</t>
        </is>
      </c>
      <c r="F37" s="2" t="inlineStr">
        <is>
          <t>نامشخص</t>
        </is>
      </c>
      <c r="G37" s="2" t="inlineStr">
        <is>
          <t>نامشخص</t>
        </is>
      </c>
      <c r="H37" s="2" t="inlineStr">
        <is>
          <t>نامشخص</t>
        </is>
      </c>
      <c r="I37" s="2" t="inlineStr">
        <is>
          <t>فعال</t>
        </is>
      </c>
      <c r="J37" s="2" t="inlineStr">
        <is>
          <t>EV-073</t>
        </is>
      </c>
      <c r="K37" s="2" t="inlineStr">
        <is>
          <t>بررسی انجام شده؛ کمپین تأییدشده پیدا نشد</t>
        </is>
      </c>
      <c r="L37" s="2" t="n">
        <v>0</v>
      </c>
      <c r="M37" s="2" t="n">
        <v>1</v>
      </c>
    </row>
    <row r="38">
      <c r="A38" s="2" t="inlineStr">
        <is>
          <t>BR-037</t>
        </is>
      </c>
      <c r="B38" s="2" t="inlineStr">
        <is>
          <t>BMW</t>
        </is>
      </c>
      <c r="C38" s="2" t="inlineStr">
        <is>
          <t>آلمان</t>
        </is>
      </c>
      <c r="D38" s="2" t="inlineStr">
        <is>
          <t>C — وارداتی</t>
        </is>
      </c>
      <c r="E38" s="2" t="inlineStr">
        <is>
          <t>نامشخص</t>
        </is>
      </c>
      <c r="F38" s="2" t="inlineStr">
        <is>
          <t>نامشخص</t>
        </is>
      </c>
      <c r="G38" s="2" t="inlineStr">
        <is>
          <t>نامشخص</t>
        </is>
      </c>
      <c r="H38" s="2" t="inlineStr">
        <is>
          <t>نامشخص</t>
        </is>
      </c>
      <c r="I38" s="2" t="inlineStr">
        <is>
          <t>فعال (حضور نمایشگاهی گزارش‌شده)</t>
        </is>
      </c>
      <c r="J38" s="2" t="inlineStr">
        <is>
          <t>EV-005</t>
        </is>
      </c>
      <c r="K38" s="2" t="inlineStr">
        <is>
          <t>بررسی ناقص به دلیل محدودیت منابع</t>
        </is>
      </c>
      <c r="L38" s="2" t="n">
        <v>0</v>
      </c>
      <c r="M38" s="2" t="n">
        <v>0</v>
      </c>
    </row>
    <row r="39">
      <c r="A39" s="2" t="inlineStr">
        <is>
          <t>BR-038</t>
        </is>
      </c>
      <c r="B39" s="2" t="inlineStr">
        <is>
          <t>Geely / Lifan</t>
        </is>
      </c>
      <c r="C39" s="2" t="inlineStr">
        <is>
          <t>چین</t>
        </is>
      </c>
      <c r="D39" s="2" t="inlineStr">
        <is>
          <t>B — مونتاژی</t>
        </is>
      </c>
      <c r="E39" s="2" t="inlineStr">
        <is>
          <t>CO-019</t>
        </is>
      </c>
      <c r="F39" s="2" t="inlineStr">
        <is>
          <t>خودروسازان بم</t>
        </is>
      </c>
      <c r="G39" s="2" t="inlineStr">
        <is>
          <t>خودروسازان بم</t>
        </is>
      </c>
      <c r="H39" s="2" t="inlineStr">
        <is>
          <t>جیلی GC6</t>
        </is>
      </c>
      <c r="I39" s="2" t="inlineStr">
        <is>
          <t>نامشخص</t>
        </is>
      </c>
      <c r="J39" s="2" t="inlineStr">
        <is>
          <t>EV-105</t>
        </is>
      </c>
      <c r="K39" s="2" t="inlineStr">
        <is>
          <t>بررسی ناقص به دلیل محدودیت منابع</t>
        </is>
      </c>
      <c r="L39" s="2" t="n">
        <v>0</v>
      </c>
      <c r="M39" s="2" t="n">
        <v>0</v>
      </c>
    </row>
    <row r="40">
      <c r="A40" s="2" t="inlineStr">
        <is>
          <t>BR-039</t>
        </is>
      </c>
      <c r="B40" s="2" t="inlineStr">
        <is>
          <t>Hongqi</t>
        </is>
      </c>
      <c r="C40" s="2" t="inlineStr">
        <is>
          <t>چین (FAW)</t>
        </is>
      </c>
      <c r="D40" s="2" t="inlineStr">
        <is>
          <t>C — وارداتی</t>
        </is>
      </c>
      <c r="E40" s="2" t="inlineStr">
        <is>
          <t>نامشخص</t>
        </is>
      </c>
      <c r="F40" s="2" t="inlineStr">
        <is>
          <t>نامشخص</t>
        </is>
      </c>
      <c r="G40" s="2" t="inlineStr">
        <is>
          <t>نماینده رسمی شناسایی نشد</t>
        </is>
      </c>
      <c r="H40" s="2" t="inlineStr">
        <is>
          <t>H5، EHS</t>
        </is>
      </c>
      <c r="I40" s="2" t="inlineStr">
        <is>
          <t>نامشخص</t>
        </is>
      </c>
      <c r="J40" s="2" t="inlineStr">
        <is>
          <t>EV-105</t>
        </is>
      </c>
      <c r="K40" s="2" t="inlineStr">
        <is>
          <t>برند غیرفعال یا فاقد شواهد فعالیت در دوره</t>
        </is>
      </c>
      <c r="L40" s="2" t="n">
        <v>0</v>
      </c>
      <c r="M40" s="2" t="n">
        <v>0</v>
      </c>
    </row>
    <row r="41">
      <c r="A41" s="2" t="inlineStr">
        <is>
          <t>BR-040</t>
        </is>
      </c>
      <c r="B41" s="2" t="inlineStr">
        <is>
          <t>GAC</t>
        </is>
      </c>
      <c r="C41" s="2" t="inlineStr">
        <is>
          <t>چین</t>
        </is>
      </c>
      <c r="D41" s="2" t="inlineStr">
        <is>
          <t>C — وارداتی</t>
        </is>
      </c>
      <c r="E41" s="2" t="inlineStr">
        <is>
          <t>نامشخص</t>
        </is>
      </c>
      <c r="F41" s="2" t="inlineStr">
        <is>
          <t>نامشخص</t>
        </is>
      </c>
      <c r="G41" s="2" t="inlineStr">
        <is>
          <t>نماینده رسمی شناسایی نشد</t>
        </is>
      </c>
      <c r="H41" s="2" t="inlineStr">
        <is>
          <t>نامشخص</t>
        </is>
      </c>
      <c r="I41" s="2" t="inlineStr">
        <is>
          <t>نامشخص</t>
        </is>
      </c>
      <c r="J41" s="2" t="inlineStr">
        <is>
          <t>EV-105</t>
        </is>
      </c>
      <c r="K41" s="2" t="inlineStr">
        <is>
          <t>برند غیرفعال یا فاقد شواهد فعالیت در دوره</t>
        </is>
      </c>
      <c r="L41" s="2" t="n">
        <v>0</v>
      </c>
      <c r="M41" s="2" t="n">
        <v>0</v>
      </c>
    </row>
    <row r="42">
      <c r="A42" s="2" t="inlineStr">
        <is>
          <t>BR-041</t>
        </is>
      </c>
      <c r="B42" s="2" t="inlineStr">
        <is>
          <t>Volkswagen</t>
        </is>
      </c>
      <c r="C42" s="2" t="inlineStr">
        <is>
          <t>آلمان</t>
        </is>
      </c>
      <c r="D42" s="2" t="inlineStr">
        <is>
          <t>C — وارداتی</t>
        </is>
      </c>
      <c r="E42" s="2" t="inlineStr">
        <is>
          <t>CO-006</t>
        </is>
      </c>
      <c r="F42" s="2" t="inlineStr">
        <is>
          <t>ماموت خودرو</t>
        </is>
      </c>
      <c r="G42" s="2" t="inlineStr">
        <is>
          <t>ماموت خودرو (سابقه واردات)</t>
        </is>
      </c>
      <c r="H42" s="2" t="inlineStr">
        <is>
          <t>نامشخص</t>
        </is>
      </c>
      <c r="I42" s="2" t="inlineStr">
        <is>
          <t>نامشخص</t>
        </is>
      </c>
      <c r="J42" s="2" t="inlineStr">
        <is>
          <t>—</t>
        </is>
      </c>
      <c r="K42" s="2" t="inlineStr">
        <is>
          <t>بررسی‌نشده</t>
        </is>
      </c>
      <c r="L42" s="2" t="n">
        <v>0</v>
      </c>
      <c r="M42" s="2" t="n">
        <v>0</v>
      </c>
    </row>
    <row r="43">
      <c r="A43" s="2" t="inlineStr">
        <is>
          <t>BR-042</t>
        </is>
      </c>
      <c r="B43" s="2" t="inlineStr">
        <is>
          <t>Honda</t>
        </is>
      </c>
      <c r="C43" s="2" t="inlineStr">
        <is>
          <t>ژاپن</t>
        </is>
      </c>
      <c r="D43" s="2" t="inlineStr">
        <is>
          <t>C — وارداتی</t>
        </is>
      </c>
      <c r="E43" s="2" t="inlineStr">
        <is>
          <t>نامشخص</t>
        </is>
      </c>
      <c r="F43" s="2" t="inlineStr">
        <is>
          <t>نامشخص</t>
        </is>
      </c>
      <c r="G43" s="2" t="inlineStr">
        <is>
          <t>نامشخص</t>
        </is>
      </c>
      <c r="H43" s="2" t="inlineStr">
        <is>
          <t>نامشخص</t>
        </is>
      </c>
      <c r="I43" s="2" t="inlineStr">
        <is>
          <t>نامشخص</t>
        </is>
      </c>
      <c r="J43" s="2" t="inlineStr">
        <is>
          <t>—</t>
        </is>
      </c>
      <c r="K43" s="2" t="inlineStr">
        <is>
          <t>بررسی‌نشده</t>
        </is>
      </c>
      <c r="L43" s="2" t="n">
        <v>0</v>
      </c>
      <c r="M43" s="2" t="n">
        <v>0</v>
      </c>
    </row>
    <row r="44">
      <c r="A44" s="2" t="inlineStr">
        <is>
          <t>BR-043</t>
        </is>
      </c>
      <c r="B44" s="2" t="inlineStr">
        <is>
          <t>MINI</t>
        </is>
      </c>
      <c r="C44" s="2" t="inlineStr">
        <is>
          <t>بریتانیا/آلمان</t>
        </is>
      </c>
      <c r="D44" s="2" t="inlineStr">
        <is>
          <t>C — وارداتی</t>
        </is>
      </c>
      <c r="E44" s="2" t="inlineStr">
        <is>
          <t>نامشخص</t>
        </is>
      </c>
      <c r="F44" s="2" t="inlineStr">
        <is>
          <t>نامشخص</t>
        </is>
      </c>
      <c r="G44" s="2" t="inlineStr">
        <is>
          <t>نامشخص</t>
        </is>
      </c>
      <c r="H44" s="2" t="inlineStr">
        <is>
          <t>نامشخص</t>
        </is>
      </c>
      <c r="I44" s="2" t="inlineStr">
        <is>
          <t>نامشخص</t>
        </is>
      </c>
      <c r="J44" s="2" t="inlineStr">
        <is>
          <t>—</t>
        </is>
      </c>
      <c r="K44" s="2" t="inlineStr">
        <is>
          <t>بررسی‌نشده</t>
        </is>
      </c>
      <c r="L44" s="2" t="n">
        <v>0</v>
      </c>
      <c r="M44" s="2" t="n">
        <v>0</v>
      </c>
    </row>
    <row r="45">
      <c r="A45" s="2" t="inlineStr">
        <is>
          <t>BR-044</t>
        </is>
      </c>
      <c r="B45" s="2" t="inlineStr">
        <is>
          <t>SsangYong (KGM)</t>
        </is>
      </c>
      <c r="C45" s="2" t="inlineStr">
        <is>
          <t>کره جنوبی</t>
        </is>
      </c>
      <c r="D45" s="2" t="inlineStr">
        <is>
          <t>C — وارداتی</t>
        </is>
      </c>
      <c r="E45" s="2" t="inlineStr">
        <is>
          <t>نامشخص</t>
        </is>
      </c>
      <c r="F45" s="2" t="inlineStr">
        <is>
          <t>نامشخص</t>
        </is>
      </c>
      <c r="G45" s="2" t="inlineStr">
        <is>
          <t>نامشخص</t>
        </is>
      </c>
      <c r="H45" s="2" t="inlineStr">
        <is>
          <t>نامشخص</t>
        </is>
      </c>
      <c r="I45" s="2" t="inlineStr">
        <is>
          <t>نامشخص</t>
        </is>
      </c>
      <c r="J45" s="2" t="inlineStr">
        <is>
          <t>—</t>
        </is>
      </c>
      <c r="K45" s="2" t="inlineStr">
        <is>
          <t>بررسی‌نشده</t>
        </is>
      </c>
      <c r="L45" s="2" t="n">
        <v>0</v>
      </c>
      <c r="M45" s="2" t="n">
        <v>0</v>
      </c>
    </row>
    <row r="46">
      <c r="A46" s="2" t="inlineStr">
        <is>
          <t>BR-045</t>
        </is>
      </c>
      <c r="B46" s="2" t="inlineStr">
        <is>
          <t>MG</t>
        </is>
      </c>
      <c r="C46" s="2" t="inlineStr">
        <is>
          <t>چین/بریتانیا</t>
        </is>
      </c>
      <c r="D46" s="2" t="inlineStr">
        <is>
          <t>C — وارداتی</t>
        </is>
      </c>
      <c r="E46" s="2" t="inlineStr">
        <is>
          <t>نامشخص</t>
        </is>
      </c>
      <c r="F46" s="2" t="inlineStr">
        <is>
          <t>نامشخص</t>
        </is>
      </c>
      <c r="G46" s="2" t="inlineStr">
        <is>
          <t>نامشخص</t>
        </is>
      </c>
      <c r="H46" s="2" t="inlineStr">
        <is>
          <t>نامشخص</t>
        </is>
      </c>
      <c r="I46" s="2" t="inlineStr">
        <is>
          <t>نامشخص</t>
        </is>
      </c>
      <c r="J46" s="2" t="inlineStr">
        <is>
          <t>—</t>
        </is>
      </c>
      <c r="K46" s="2" t="inlineStr">
        <is>
          <t>بررسی‌نشده</t>
        </is>
      </c>
      <c r="L46" s="2" t="n">
        <v>0</v>
      </c>
      <c r="M46" s="2" t="n">
        <v>0</v>
      </c>
    </row>
    <row r="47">
      <c r="A47" s="2" t="inlineStr">
        <is>
          <t>BR-046</t>
        </is>
      </c>
      <c r="B47" s="2" t="inlineStr">
        <is>
          <t>Jetour (برند اصلی)</t>
        </is>
      </c>
      <c r="C47" s="2" t="inlineStr">
        <is>
          <t>چین</t>
        </is>
      </c>
      <c r="D47" s="2" t="inlineStr">
        <is>
          <t>C — وارداتی</t>
        </is>
      </c>
      <c r="E47" s="2" t="inlineStr">
        <is>
          <t>CO-009</t>
        </is>
      </c>
      <c r="F47" s="2" t="inlineStr">
        <is>
          <t>تیگارد موتور</t>
        </is>
      </c>
      <c r="G47" s="2" t="inlineStr">
        <is>
          <t>در ایران با نام تیسان عرضه می‌شود</t>
        </is>
      </c>
      <c r="H47" s="2" t="inlineStr">
        <is>
          <t>—</t>
        </is>
      </c>
      <c r="I47" s="2" t="inlineStr">
        <is>
          <t>فعال از طریق BR-021</t>
        </is>
      </c>
      <c r="J47" s="2" t="inlineStr">
        <is>
          <t>EV-100</t>
        </is>
      </c>
      <c r="K47" s="2" t="inlineStr">
        <is>
          <t>بررسی انجام شده؛ کمپین پیدا شد</t>
        </is>
      </c>
      <c r="L47" s="2" t="n">
        <v>1</v>
      </c>
      <c r="M47" s="2" t="n">
        <v>0</v>
      </c>
    </row>
    <row r="48">
      <c r="A48" s="2" t="inlineStr">
        <is>
          <t>BR-047</t>
        </is>
      </c>
      <c r="B48" s="2" t="inlineStr">
        <is>
          <t>Mars (طبق اطلاعیه اتونوین)</t>
        </is>
      </c>
      <c r="C48" s="2" t="inlineStr">
        <is>
          <t>نامشخص</t>
        </is>
      </c>
      <c r="D48" s="2" t="inlineStr">
        <is>
          <t>C — وارداتی</t>
        </is>
      </c>
      <c r="E48" s="2" t="inlineStr">
        <is>
          <t>CO-022</t>
        </is>
      </c>
      <c r="F48" s="2" t="inlineStr">
        <is>
          <t>پلتفرم اتونوین / سامانه یکپارچه واردات (وزارت صمت)</t>
        </is>
      </c>
      <c r="G48" s="2" t="inlineStr">
        <is>
          <t>نامشخص</t>
        </is>
      </c>
      <c r="H48" s="2" t="inlineStr">
        <is>
          <t>نامشخص</t>
        </is>
      </c>
      <c r="I48" s="2" t="inlineStr">
        <is>
          <t>فعال (نیازمند تأیید)</t>
        </is>
      </c>
      <c r="J48" s="2" t="inlineStr">
        <is>
          <t>EV-074</t>
        </is>
      </c>
      <c r="K48" s="2" t="inlineStr">
        <is>
          <t>بررسی ناقص به دلیل محدودیت منابع</t>
        </is>
      </c>
      <c r="L48" s="2" t="n">
        <v>0</v>
      </c>
      <c r="M48" s="2" t="n">
        <v>1</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25"/>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6" customWidth="1" min="2" max="2"/>
    <col width="30" customWidth="1" min="3" max="3"/>
    <col width="30" customWidth="1" min="4" max="4"/>
    <col width="18" customWidth="1" min="5" max="5"/>
    <col width="30" customWidth="1" min="6" max="6"/>
  </cols>
  <sheetData>
    <row r="1" ht="36" customHeight="1">
      <c r="A1" s="1" t="inlineStr">
        <is>
          <t>Company_ID</t>
        </is>
      </c>
      <c r="B1" s="1" t="inlineStr">
        <is>
          <t>نام شرکت</t>
        </is>
      </c>
      <c r="C1" s="1" t="inlineStr">
        <is>
          <t>English</t>
        </is>
      </c>
      <c r="D1" s="1" t="inlineStr">
        <is>
          <t>نقش</t>
        </is>
      </c>
      <c r="E1" s="1" t="inlineStr">
        <is>
          <t>دسته</t>
        </is>
      </c>
      <c r="F1" s="1" t="inlineStr">
        <is>
          <t>برندهای مرتبط</t>
        </is>
      </c>
    </row>
    <row r="2">
      <c r="A2" s="2" t="inlineStr">
        <is>
          <t>CO-001</t>
        </is>
      </c>
      <c r="B2" s="2" t="inlineStr">
        <is>
          <t>ایران خودرو</t>
        </is>
      </c>
      <c r="C2" s="2" t="inlineStr">
        <is>
          <t>Iran Khodro (IKCO)</t>
        </is>
      </c>
      <c r="D2" s="2" t="inlineStr">
        <is>
          <t>خودروساز / مونتاژکار / واردکننده</t>
        </is>
      </c>
      <c r="E2" s="2" t="inlineStr">
        <is>
          <t>A — خودروساز داخلی</t>
        </is>
      </c>
      <c r="F2" s="2" t="inlineStr">
        <is>
          <t>BR-001;BR-002;BR-005;BR-024;BR-031</t>
        </is>
      </c>
    </row>
    <row r="3">
      <c r="A3" s="2" t="inlineStr">
        <is>
          <t>CO-002</t>
        </is>
      </c>
      <c r="B3" s="2" t="inlineStr">
        <is>
          <t>سایپا</t>
        </is>
      </c>
      <c r="C3" s="2" t="inlineStr">
        <is>
          <t>SAIPA Group</t>
        </is>
      </c>
      <c r="D3" s="2" t="inlineStr">
        <is>
          <t>خودروساز / مونتاژکار</t>
        </is>
      </c>
      <c r="E3" s="2" t="inlineStr">
        <is>
          <t>A — خودروساز داخلی</t>
        </is>
      </c>
      <c r="F3" s="2" t="inlineStr">
        <is>
          <t>BR-003;BR-004;BR-005;BR-020;BR-023</t>
        </is>
      </c>
    </row>
    <row r="4">
      <c r="A4" s="2" t="inlineStr">
        <is>
          <t>CO-003</t>
        </is>
      </c>
      <c r="B4" s="2" t="inlineStr">
        <is>
          <t>مدیران خودرو</t>
        </is>
      </c>
      <c r="C4" s="2" t="inlineStr">
        <is>
          <t>Modiran Khodro</t>
        </is>
      </c>
      <c r="D4" s="2" t="inlineStr">
        <is>
          <t>مونتاژکار (چری)</t>
        </is>
      </c>
      <c r="E4" s="2" t="inlineStr">
        <is>
          <t>B — مونتاژی</t>
        </is>
      </c>
      <c r="F4" s="2" t="inlineStr">
        <is>
          <t>BR-006;BR-007;BR-008</t>
        </is>
      </c>
    </row>
    <row r="5">
      <c r="A5" s="2" t="inlineStr">
        <is>
          <t>CO-004</t>
        </is>
      </c>
      <c r="B5" s="2" t="inlineStr">
        <is>
          <t>کرمان موتور</t>
        </is>
      </c>
      <c r="C5" s="2" t="inlineStr">
        <is>
          <t>Kerman Motor</t>
        </is>
      </c>
      <c r="D5" s="2" t="inlineStr">
        <is>
          <t>مونتاژکار / واردکننده</t>
        </is>
      </c>
      <c r="E5" s="2" t="inlineStr">
        <is>
          <t>B — مونتاژی</t>
        </is>
      </c>
      <c r="F5" s="2" t="inlineStr">
        <is>
          <t>BR-009;BR-010;BR-011;BR-022</t>
        </is>
      </c>
    </row>
    <row r="6">
      <c r="A6" s="2" t="inlineStr">
        <is>
          <t>CO-005</t>
        </is>
      </c>
      <c r="B6" s="2" t="inlineStr">
        <is>
          <t>گروه بهمن (بهمن موتور / بی‌ام‌کارز)</t>
        </is>
      </c>
      <c r="C6" s="2" t="inlineStr">
        <is>
          <t>Bahman Group</t>
        </is>
      </c>
      <c r="D6" s="2" t="inlineStr">
        <is>
          <t>مونتاژکار / واردکننده</t>
        </is>
      </c>
      <c r="E6" s="2" t="inlineStr">
        <is>
          <t>B — مونتاژی</t>
        </is>
      </c>
      <c r="F6" s="2" t="inlineStr">
        <is>
          <t>BR-013;BR-014;BR-015</t>
        </is>
      </c>
    </row>
    <row r="7">
      <c r="A7" s="2" t="inlineStr">
        <is>
          <t>CO-006</t>
        </is>
      </c>
      <c r="B7" s="2" t="inlineStr">
        <is>
          <t>ماموت خودرو</t>
        </is>
      </c>
      <c r="C7" s="2" t="inlineStr">
        <is>
          <t>Mammut Khodro</t>
        </is>
      </c>
      <c r="D7" s="2" t="inlineStr">
        <is>
          <t>مونتاژکار / واردکننده</t>
        </is>
      </c>
      <c r="E7" s="2" t="inlineStr">
        <is>
          <t>B — مونتاژی</t>
        </is>
      </c>
      <c r="F7" s="2" t="inlineStr">
        <is>
          <t>BR-016;BR-017;BR-041</t>
        </is>
      </c>
    </row>
    <row r="8">
      <c r="A8" s="2" t="inlineStr">
        <is>
          <t>CO-007</t>
        </is>
      </c>
      <c r="B8" s="2" t="inlineStr">
        <is>
          <t>مکث موتور</t>
        </is>
      </c>
      <c r="C8" s="2" t="inlineStr">
        <is>
          <t>Maxmotor</t>
        </is>
      </c>
      <c r="D8" s="2" t="inlineStr">
        <is>
          <t>مونتاژکار / واردکننده</t>
        </is>
      </c>
      <c r="E8" s="2" t="inlineStr">
        <is>
          <t>B — مونتاژی</t>
        </is>
      </c>
      <c r="F8" s="2" t="inlineStr">
        <is>
          <t>BR-018</t>
        </is>
      </c>
    </row>
    <row r="9">
      <c r="A9" s="2" t="inlineStr">
        <is>
          <t>CO-008</t>
        </is>
      </c>
      <c r="B9" s="2" t="inlineStr">
        <is>
          <t>آرین موتور / آرین پارس موتور / آرینا درایو</t>
        </is>
      </c>
      <c r="C9" s="2" t="inlineStr">
        <is>
          <t>Arian Motor</t>
        </is>
      </c>
      <c r="D9" s="2" t="inlineStr">
        <is>
          <t>مونتاژکار / واردکننده</t>
        </is>
      </c>
      <c r="E9" s="2" t="inlineStr">
        <is>
          <t>B — مونتاژی</t>
        </is>
      </c>
      <c r="F9" s="2" t="inlineStr">
        <is>
          <t>BR-019;BR-020;BR-024;BR-026</t>
        </is>
      </c>
    </row>
    <row r="10">
      <c r="A10" s="2" t="inlineStr">
        <is>
          <t>CO-009</t>
        </is>
      </c>
      <c r="B10" s="2" t="inlineStr">
        <is>
          <t>تیگارد موتور</t>
        </is>
      </c>
      <c r="C10" s="2" t="inlineStr">
        <is>
          <t>Tigard Motor</t>
        </is>
      </c>
      <c r="D10" s="2" t="inlineStr">
        <is>
          <t>واردکننده / عرضه‌کننده</t>
        </is>
      </c>
      <c r="E10" s="2" t="inlineStr">
        <is>
          <t>B — مونتاژی</t>
        </is>
      </c>
      <c r="F10" s="2" t="inlineStr">
        <is>
          <t>BR-021;BR-022;BR-046</t>
        </is>
      </c>
    </row>
    <row r="11">
      <c r="A11" s="2" t="inlineStr">
        <is>
          <t>CO-010</t>
        </is>
      </c>
      <c r="B11" s="2" t="inlineStr">
        <is>
          <t>بی‌وای‌دی علی</t>
        </is>
      </c>
      <c r="C11" s="2" t="inlineStr">
        <is>
          <t>BYD Ali</t>
        </is>
      </c>
      <c r="D11" s="2" t="inlineStr">
        <is>
          <t>واردکننده</t>
        </is>
      </c>
      <c r="E11" s="2" t="inlineStr">
        <is>
          <t>C — وارداتی</t>
        </is>
      </c>
      <c r="F11" s="2" t="inlineStr">
        <is>
          <t>BR-022</t>
        </is>
      </c>
    </row>
    <row r="12">
      <c r="A12" s="2" t="inlineStr">
        <is>
          <t>CO-011</t>
        </is>
      </c>
      <c r="B12" s="2" t="inlineStr">
        <is>
          <t>هرمس خودرو</t>
        </is>
      </c>
      <c r="C12" s="2" t="inlineStr">
        <is>
          <t>Hermes Khodro</t>
        </is>
      </c>
      <c r="D12" s="2" t="inlineStr">
        <is>
          <t>واردکننده</t>
        </is>
      </c>
      <c r="E12" s="2" t="inlineStr">
        <is>
          <t>C — وارداتی</t>
        </is>
      </c>
      <c r="F12" s="2" t="inlineStr">
        <is>
          <t>BR-011;BR-012</t>
        </is>
      </c>
    </row>
    <row r="13">
      <c r="A13" s="2" t="inlineStr">
        <is>
          <t>CO-012</t>
        </is>
      </c>
      <c r="B13" s="2" t="inlineStr">
        <is>
          <t>یاسین موتور</t>
        </is>
      </c>
      <c r="C13" s="2" t="inlineStr">
        <is>
          <t>Yasin Motor</t>
        </is>
      </c>
      <c r="D13" s="2" t="inlineStr">
        <is>
          <t>واردکننده</t>
        </is>
      </c>
      <c r="E13" s="2" t="inlineStr">
        <is>
          <t>C — وارداتی</t>
        </is>
      </c>
      <c r="F13" s="2" t="inlineStr">
        <is>
          <t>BR-025</t>
        </is>
      </c>
    </row>
    <row r="14">
      <c r="A14" s="2" t="inlineStr">
        <is>
          <t>CO-013</t>
        </is>
      </c>
      <c r="B14" s="2" t="inlineStr">
        <is>
          <t>نامی خودرو</t>
        </is>
      </c>
      <c r="C14" s="2" t="inlineStr">
        <is>
          <t>Nami Khodro</t>
        </is>
      </c>
      <c r="D14" s="2" t="inlineStr">
        <is>
          <t>واردکننده</t>
        </is>
      </c>
      <c r="E14" s="2" t="inlineStr">
        <is>
          <t>C — وارداتی</t>
        </is>
      </c>
      <c r="F14" s="2" t="inlineStr">
        <is>
          <t>BR-026</t>
        </is>
      </c>
    </row>
    <row r="15">
      <c r="A15" s="2" t="inlineStr">
        <is>
          <t>CO-014</t>
        </is>
      </c>
      <c r="B15" s="2" t="inlineStr">
        <is>
          <t>سیکاس خودرو</t>
        </is>
      </c>
      <c r="C15" s="2" t="inlineStr">
        <is>
          <t>Sikas Khodro</t>
        </is>
      </c>
      <c r="D15" s="2" t="inlineStr">
        <is>
          <t>واردکننده</t>
        </is>
      </c>
      <c r="E15" s="2" t="inlineStr">
        <is>
          <t>C — وارداتی</t>
        </is>
      </c>
      <c r="F15" s="2" t="inlineStr">
        <is>
          <t>BR-027</t>
        </is>
      </c>
    </row>
    <row r="16">
      <c r="A16" s="2" t="inlineStr">
        <is>
          <t>CO-015</t>
        </is>
      </c>
      <c r="B16" s="2" t="inlineStr">
        <is>
          <t>آفتاب خودرو</t>
        </is>
      </c>
      <c r="C16" s="2" t="inlineStr">
        <is>
          <t>Aftab Khodro</t>
        </is>
      </c>
      <c r="D16" s="2" t="inlineStr">
        <is>
          <t>واردکننده</t>
        </is>
      </c>
      <c r="E16" s="2" t="inlineStr">
        <is>
          <t>C — وارداتی</t>
        </is>
      </c>
      <c r="F16" s="2" t="inlineStr">
        <is>
          <t>BR-028;BR-029</t>
        </is>
      </c>
    </row>
    <row r="17">
      <c r="A17" s="2" t="inlineStr">
        <is>
          <t>CO-016</t>
        </is>
      </c>
      <c r="B17" s="2" t="inlineStr">
        <is>
          <t>معین خودرو</t>
        </is>
      </c>
      <c r="C17" s="2" t="inlineStr">
        <is>
          <t>Moein Khodro</t>
        </is>
      </c>
      <c r="D17" s="2" t="inlineStr">
        <is>
          <t>واردکننده</t>
        </is>
      </c>
      <c r="E17" s="2" t="inlineStr">
        <is>
          <t>C — وارداتی</t>
        </is>
      </c>
      <c r="F17" s="2" t="inlineStr">
        <is>
          <t>BR-028;BR-030</t>
        </is>
      </c>
    </row>
    <row r="18">
      <c r="A18" s="2" t="inlineStr">
        <is>
          <t>CO-017</t>
        </is>
      </c>
      <c r="B18" s="2" t="inlineStr">
        <is>
          <t>شتابران خودرو</t>
        </is>
      </c>
      <c r="C18" s="2" t="inlineStr">
        <is>
          <t>Shetabran Khodro</t>
        </is>
      </c>
      <c r="D18" s="2" t="inlineStr">
        <is>
          <t>واردکننده</t>
        </is>
      </c>
      <c r="E18" s="2" t="inlineStr">
        <is>
          <t>C — وارداتی</t>
        </is>
      </c>
      <c r="F18" s="2" t="inlineStr">
        <is>
          <t>BR-032</t>
        </is>
      </c>
    </row>
    <row r="19">
      <c r="A19" s="2" t="inlineStr">
        <is>
          <t>CO-018</t>
        </is>
      </c>
      <c r="B19" s="2" t="inlineStr">
        <is>
          <t>دیار خودرو</t>
        </is>
      </c>
      <c r="C19" s="2" t="inlineStr">
        <is>
          <t>Diar Khodro</t>
        </is>
      </c>
      <c r="D19" s="2" t="inlineStr">
        <is>
          <t>واردکننده</t>
        </is>
      </c>
      <c r="E19" s="2" t="inlineStr">
        <is>
          <t>C — وارداتی</t>
        </is>
      </c>
      <c r="F19" s="2" t="inlineStr">
        <is>
          <t>—</t>
        </is>
      </c>
    </row>
    <row r="20">
      <c r="A20" s="2" t="inlineStr">
        <is>
          <t>CO-019</t>
        </is>
      </c>
      <c r="B20" s="2" t="inlineStr">
        <is>
          <t>خودروسازان بم</t>
        </is>
      </c>
      <c r="C20" s="2" t="inlineStr">
        <is>
          <t>Bam Khodro</t>
        </is>
      </c>
      <c r="D20" s="2" t="inlineStr">
        <is>
          <t>مونتاژکار</t>
        </is>
      </c>
      <c r="E20" s="2" t="inlineStr">
        <is>
          <t>B — مونتاژی</t>
        </is>
      </c>
      <c r="F20" s="2" t="inlineStr">
        <is>
          <t>BR-038</t>
        </is>
      </c>
    </row>
    <row r="21">
      <c r="A21" s="2" t="inlineStr">
        <is>
          <t>CO-020</t>
        </is>
      </c>
      <c r="B21" s="2" t="inlineStr">
        <is>
          <t>مهر خودرو ایرانیان</t>
        </is>
      </c>
      <c r="C21" s="2" t="inlineStr">
        <is>
          <t>Mehr Khodro Iranian</t>
        </is>
      </c>
      <c r="D21" s="2" t="inlineStr">
        <is>
          <t>عرضه‌کننده</t>
        </is>
      </c>
      <c r="E21" s="2" t="inlineStr">
        <is>
          <t>C — وارداتی</t>
        </is>
      </c>
      <c r="F21" s="2" t="inlineStr">
        <is>
          <t>—</t>
        </is>
      </c>
    </row>
    <row r="22">
      <c r="A22" s="2" t="inlineStr">
        <is>
          <t>CO-021</t>
        </is>
      </c>
      <c r="B22" s="2" t="inlineStr">
        <is>
          <t>ایده تجارت هرمس</t>
        </is>
      </c>
      <c r="C22" s="2" t="inlineStr">
        <is>
          <t>Idea Trade Hermes</t>
        </is>
      </c>
      <c r="D22" s="2" t="inlineStr">
        <is>
          <t>برگزارکننده نمایشگاه</t>
        </is>
      </c>
      <c r="E22" s="2" t="inlineStr">
        <is>
          <t>—</t>
        </is>
      </c>
      <c r="F22" s="2" t="inlineStr">
        <is>
          <t>—</t>
        </is>
      </c>
    </row>
    <row r="23">
      <c r="A23" s="2" t="inlineStr">
        <is>
          <t>CO-022</t>
        </is>
      </c>
      <c r="B23" s="2" t="inlineStr">
        <is>
          <t>پلتفرم اتونوین / سامانه یکپارچه واردات (وزارت صمت)</t>
        </is>
      </c>
      <c r="C23" s="2" t="inlineStr">
        <is>
          <t>Autonovin / Integrated import system</t>
        </is>
      </c>
      <c r="D23" s="2" t="inlineStr">
        <is>
          <t>پلتفرم دولتی عرضه</t>
        </is>
      </c>
      <c r="E23" s="2" t="inlineStr">
        <is>
          <t>—</t>
        </is>
      </c>
      <c r="F23" s="2" t="inlineStr">
        <is>
          <t>BR-047</t>
        </is>
      </c>
    </row>
    <row r="24">
      <c r="A24" s="2" t="inlineStr">
        <is>
          <t>CO-023</t>
        </is>
      </c>
      <c r="B24" s="2" t="inlineStr">
        <is>
          <t>خودرو۴۵</t>
        </is>
      </c>
      <c r="C24" s="2" t="inlineStr">
        <is>
          <t>Khodro45</t>
        </is>
      </c>
      <c r="D24" s="2" t="inlineStr">
        <is>
          <t>پلتفرم خرید و فروش خودرو (اکوسیستم)</t>
        </is>
      </c>
      <c r="E24" s="2" t="inlineStr">
        <is>
          <t>X</t>
        </is>
      </c>
      <c r="F24" s="2" t="inlineStr">
        <is>
          <t>—</t>
        </is>
      </c>
    </row>
    <row r="25">
      <c r="A25" s="2" t="inlineStr">
        <is>
          <t>CO-024</t>
        </is>
      </c>
      <c r="B25" s="2" t="inlineStr">
        <is>
          <t>کاسپین</t>
        </is>
      </c>
      <c r="C25" s="2" t="inlineStr">
        <is>
          <t>Caspian</t>
        </is>
      </c>
      <c r="D25" s="2" t="inlineStr">
        <is>
          <t>برند روانکار/محصولات خودرویی (اکوسیستم)</t>
        </is>
      </c>
      <c r="E25" s="2" t="inlineStr">
        <is>
          <t>X</t>
        </is>
      </c>
      <c r="F25" s="2" t="inlineStr">
        <is>
          <t>—</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C55"/>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0" customWidth="1" min="3" max="3"/>
    <col width="14" customWidth="1" min="4" max="4"/>
    <col width="26" customWidth="1" min="5" max="5"/>
    <col width="22" customWidth="1" min="6" max="6"/>
    <col width="40" customWidth="1" min="7" max="7"/>
    <col width="28" customWidth="1" min="8" max="8"/>
    <col width="22" customWidth="1" min="9" max="9"/>
    <col width="22" customWidth="1" min="10" max="10"/>
    <col width="28" customWidth="1" min="11" max="11"/>
    <col width="12" customWidth="1" min="12" max="12"/>
    <col width="12" customWidth="1" min="13" max="13"/>
    <col width="22" customWidth="1" min="14" max="14"/>
    <col width="34" customWidth="1" min="15" max="15"/>
    <col width="14" customWidth="1" min="16" max="16"/>
    <col width="22" customWidth="1" min="17" max="17"/>
    <col width="28" customWidth="1" min="18" max="18"/>
    <col width="14" customWidth="1" min="19" max="19"/>
    <col width="24" customWidth="1" min="20" max="20"/>
    <col width="10" customWidth="1" min="21" max="21"/>
    <col width="16" customWidth="1" min="22" max="22"/>
    <col width="30" customWidth="1" min="23" max="23"/>
    <col width="10" customWidth="1" min="24" max="24"/>
    <col width="18" customWidth="1" min="25" max="25"/>
    <col width="20" customWidth="1" min="26" max="26"/>
    <col width="9" customWidth="1" min="27" max="27"/>
    <col width="32" customWidth="1" min="28" max="28"/>
    <col width="18" customWidth="1" min="29" max="29"/>
  </cols>
  <sheetData>
    <row r="1" ht="36" customHeight="1">
      <c r="A1" s="1" t="inlineStr">
        <is>
          <t>Campaign_ID</t>
        </is>
      </c>
      <c r="B1" s="1" t="inlineStr">
        <is>
          <t>نوع رکورد</t>
        </is>
      </c>
      <c r="C1" s="1" t="inlineStr">
        <is>
          <t>دسته کمپین</t>
        </is>
      </c>
      <c r="D1" s="1" t="inlineStr">
        <is>
          <t>Brand_IDs</t>
        </is>
      </c>
      <c r="E1" s="1" t="inlineStr">
        <is>
          <t>برند</t>
        </is>
      </c>
      <c r="F1" s="1" t="inlineStr">
        <is>
          <t>شرکت اجراکننده/سفارش‌دهنده</t>
        </is>
      </c>
      <c r="G1" s="1" t="inlineStr">
        <is>
          <t>نام/عنوان توصیفی</t>
        </is>
      </c>
      <c r="H1" s="1" t="inlineStr">
        <is>
          <t>شعار و پیام</t>
        </is>
      </c>
      <c r="I1" s="1" t="inlineStr">
        <is>
          <t>هدف بازاریابی</t>
        </is>
      </c>
      <c r="J1" s="1" t="inlineStr">
        <is>
          <t>مخاطب هدف</t>
        </is>
      </c>
      <c r="K1" s="1" t="inlineStr">
        <is>
          <t>محصول/مدل</t>
        </is>
      </c>
      <c r="L1" s="1" t="inlineStr">
        <is>
          <t>تاریخ شروع (میلادی)</t>
        </is>
      </c>
      <c r="M1" s="1" t="inlineStr">
        <is>
          <t>تاریخ پایان (میلادی)</t>
        </is>
      </c>
      <c r="N1" s="1" t="inlineStr">
        <is>
          <t>بازه اجرا (شمسی، طبق منبع)</t>
        </is>
      </c>
      <c r="O1" s="1" t="inlineStr">
        <is>
          <t>تاریخ انتشار شواهد (اولین/آخرین)</t>
        </is>
      </c>
      <c r="P1" s="1" t="inlineStr">
        <is>
          <t>جغرافیا</t>
        </is>
      </c>
      <c r="Q1" s="1" t="inlineStr">
        <is>
          <t>کانال‌ها</t>
        </is>
      </c>
      <c r="R1" s="1" t="inlineStr">
        <is>
          <t>ایده خلاقه</t>
        </is>
      </c>
      <c r="S1" s="1" t="inlineStr">
        <is>
          <t>فرمت محتوا</t>
        </is>
      </c>
      <c r="T1" s="1" t="inlineStr">
        <is>
          <t>نوع پیشنهاد فروش</t>
        </is>
      </c>
      <c r="U1" s="1" t="inlineStr">
        <is>
          <t>آژانس/مجری</t>
        </is>
      </c>
      <c r="V1" s="1" t="inlineStr">
        <is>
          <t>Evidence_IDs</t>
        </is>
      </c>
      <c r="W1" s="1" t="inlineStr">
        <is>
          <t>لینک شاهد اصلی</t>
        </is>
      </c>
      <c r="X1" s="1" t="inlineStr">
        <is>
          <t>لینک تصویر/ویدئو</t>
        </is>
      </c>
      <c r="Y1" s="1" t="inlineStr">
        <is>
          <t>منبع و تاریخ دسترسی</t>
        </is>
      </c>
      <c r="Z1" s="1" t="inlineStr">
        <is>
          <t>وضعیت تأیید</t>
        </is>
      </c>
      <c r="AA1" s="1" t="inlineStr">
        <is>
          <t>میزان اطمینان</t>
        </is>
      </c>
      <c r="AB1" s="1" t="inlineStr">
        <is>
          <t>محدودیت‌های اطلاعاتی</t>
        </is>
      </c>
      <c r="AC1" s="1" t="inlineStr">
        <is>
          <t>بودجه و عملکرد</t>
        </is>
      </c>
    </row>
    <row r="2">
      <c r="A2" s="2" t="inlineStr">
        <is>
          <t>CMP-001</t>
        </is>
      </c>
      <c r="B2" s="2" t="inlineStr">
        <is>
          <t>کمپین نمایشگاهی/رویدادی</t>
        </is>
      </c>
      <c r="C2" s="2" t="inlineStr">
        <is>
          <t>10. نمایشگاهی و رویدادی</t>
        </is>
      </c>
      <c r="D2" s="2" t="inlineStr">
        <is>
          <t>BR-001</t>
        </is>
      </c>
      <c r="E2" s="2" t="inlineStr">
        <is>
          <t>ایران خودرو (IKCO) — تارا، ری‌را، دنا، سورن، پژو ۲۰۷</t>
        </is>
      </c>
      <c r="F2" s="2" t="inlineStr">
        <is>
          <t>ایران خودرو</t>
        </is>
      </c>
      <c r="G2" s="2" t="inlineStr">
        <is>
          <t>حضور ایران خودرو در نوزدهمین نمایشگاه خودرو اصفهان</t>
        </is>
      </c>
      <c r="H2" s="2" t="inlineStr">
        <is>
          <t>نامشخص</t>
        </is>
      </c>
      <c r="I2" s="2" t="inlineStr">
        <is>
          <t>بازگشت به نمایشگاه‌های استانی و نمایش محصولات</t>
        </is>
      </c>
      <c r="J2" s="2" t="inlineStr">
        <is>
          <t>بازدیدکنندگان نمایشگاه / بازار اصفهان</t>
        </is>
      </c>
      <c r="K2" s="2" t="inlineStr">
        <is>
          <t>محصولات نمایش‌داده‌شده در مشهد و تبریز (طبق گزارش)</t>
        </is>
      </c>
      <c r="L2" s="3" t="n">
        <v>45953</v>
      </c>
      <c r="M2" s="3" t="n">
        <v>45956</v>
      </c>
      <c r="N2" s="2" t="inlineStr">
        <is>
          <t>۱ تا ۴ آبان ۱۴۰۴</t>
        </is>
      </c>
      <c r="O2" s="2" t="inlineStr">
        <is>
          <t>EV-010: آبان ۱۴۰۴؛ EV-011: مهر ۱۴۰۴</t>
        </is>
      </c>
      <c r="P2" s="2" t="inlineStr">
        <is>
          <t>اصفهان</t>
        </is>
      </c>
      <c r="Q2" s="2" t="inlineStr">
        <is>
          <t>نمایشگاه / غرفه</t>
        </is>
      </c>
      <c r="R2" s="2" t="inlineStr">
        <is>
          <t>نامشخص</t>
        </is>
      </c>
      <c r="S2" s="2" t="inlineStr">
        <is>
          <t>غرفه نمایشگاهی</t>
        </is>
      </c>
      <c r="T2" s="2" t="inlineStr">
        <is>
          <t>نامشخص</t>
        </is>
      </c>
      <c r="U2" s="2" t="inlineStr">
        <is>
          <t>نامشخص</t>
        </is>
      </c>
      <c r="V2" s="2" t="inlineStr">
        <is>
          <t>EV-010;EV-011</t>
        </is>
      </c>
      <c r="W2" s="4" t="inlineStr">
        <is>
          <t>https://www.pedal.ir/autoshow/741792-esfahan-auto-show-1404/</t>
        </is>
      </c>
      <c r="X2" s="2" t="inlineStr">
        <is>
          <t>نامشخص</t>
        </is>
      </c>
      <c r="Y2" s="2" t="inlineStr">
        <is>
          <t>WebSearch — 2026-10-10</t>
        </is>
      </c>
      <c r="Z2" s="2" t="inlineStr">
        <is>
          <t>تأییدشده (رویداد)؛ جزئیات خلاقه نامشخص</t>
        </is>
      </c>
      <c r="AA2" s="2" t="inlineStr">
        <is>
          <t>Medium</t>
        </is>
      </c>
      <c r="AB2" s="2" t="inlineStr">
        <is>
          <t>فقط خلاصه جست‌وجو؛ گزارش می‌گوید محصول تازه‌ای عرضه نشد</t>
        </is>
      </c>
      <c r="AC2" s="2" t="inlineStr">
        <is>
          <t>داده عمومی قابل اتکا پیدا نشد</t>
        </is>
      </c>
    </row>
    <row r="3">
      <c r="A3" s="2" t="inlineStr">
        <is>
          <t>CMP-002</t>
        </is>
      </c>
      <c r="B3" s="2" t="inlineStr">
        <is>
          <t>کمپین نمایشگاهی/رویدادی</t>
        </is>
      </c>
      <c r="C3" s="2" t="inlineStr">
        <is>
          <t>10. نمایشگاهی و رویدادی</t>
        </is>
      </c>
      <c r="D3" s="2" t="inlineStr">
        <is>
          <t>BR-013</t>
        </is>
      </c>
      <c r="E3" s="2" t="inlineStr">
        <is>
          <t>Fidelity / Dignity / Respect (برندهای گروه بهمن)</t>
        </is>
      </c>
      <c r="F3" s="2" t="inlineStr">
        <is>
          <t>گروه بهمن</t>
        </is>
      </c>
      <c r="G3" s="2" t="inlineStr">
        <is>
          <t>حضور گروه بهمن در نمایشگاه خودرو اصفهان</t>
        </is>
      </c>
      <c r="H3" s="2" t="inlineStr">
        <is>
          <t>نامشخص</t>
        </is>
      </c>
      <c r="I3" s="2" t="inlineStr">
        <is>
          <t>نامشخص</t>
        </is>
      </c>
      <c r="J3" s="2" t="inlineStr">
        <is>
          <t>بازدیدکنندگان نمایشگاه</t>
        </is>
      </c>
      <c r="K3" s="2" t="inlineStr">
        <is>
          <t>نامشخص</t>
        </is>
      </c>
      <c r="L3" s="3" t="n">
        <v>45953</v>
      </c>
      <c r="M3" s="3" t="n">
        <v>45956</v>
      </c>
      <c r="N3" s="2" t="inlineStr">
        <is>
          <t>۱ تا ۴ آبان ۱۴۰۴</t>
        </is>
      </c>
      <c r="O3" s="2" t="inlineStr">
        <is>
          <t>EV-010: آبان ۱۴۰۴</t>
        </is>
      </c>
      <c r="P3" s="2" t="inlineStr">
        <is>
          <t>اصفهان</t>
        </is>
      </c>
      <c r="Q3" s="2" t="inlineStr">
        <is>
          <t>نمایشگاه</t>
        </is>
      </c>
      <c r="R3" s="2" t="inlineStr">
        <is>
          <t>نامشخص</t>
        </is>
      </c>
      <c r="S3" s="2" t="inlineStr">
        <is>
          <t>غرفه</t>
        </is>
      </c>
      <c r="T3" s="2" t="inlineStr">
        <is>
          <t>نامشخص</t>
        </is>
      </c>
      <c r="U3" s="2" t="inlineStr">
        <is>
          <t>نامشخص</t>
        </is>
      </c>
      <c r="V3" s="2" t="inlineStr">
        <is>
          <t>EV-010</t>
        </is>
      </c>
      <c r="W3" s="4" t="inlineStr">
        <is>
          <t>https://www.pedal.ir/autoshow/741792-esfahan-auto-show-1404/</t>
        </is>
      </c>
      <c r="X3" s="2" t="inlineStr">
        <is>
          <t>نامشخص</t>
        </is>
      </c>
      <c r="Y3" s="2" t="inlineStr">
        <is>
          <t>WebSearch — 2026-10-10</t>
        </is>
      </c>
      <c r="Z3" s="2" t="inlineStr">
        <is>
          <t>نیازمند تأیید</t>
        </is>
      </c>
      <c r="AA3" s="2" t="inlineStr">
        <is>
          <t>Low</t>
        </is>
      </c>
      <c r="AB3" s="2" t="inlineStr">
        <is>
          <t>حضور فقط در یک خلاصه نتیجه ذکر شد</t>
        </is>
      </c>
      <c r="AC3" s="2" t="inlineStr">
        <is>
          <t>داده عمومی قابل اتکا پیدا نشد</t>
        </is>
      </c>
    </row>
    <row r="4">
      <c r="A4" s="2" t="inlineStr">
        <is>
          <t>CMP-003</t>
        </is>
      </c>
      <c r="B4" s="2" t="inlineStr">
        <is>
          <t>کمپین تبلیغاتی/ترویجی</t>
        </is>
      </c>
      <c r="C4" s="2" t="inlineStr">
        <is>
          <t>4. پیش‌فروش یا ثبت‌نام (مناسبتی)</t>
        </is>
      </c>
      <c r="D4" s="2" t="inlineStr">
        <is>
          <t>BR-003</t>
        </is>
      </c>
      <c r="E4" s="2" t="inlineStr">
        <is>
          <t>سایپا — شاهین، آریا، اطلس، ساینا، کوییک، ۱۵۱</t>
        </is>
      </c>
      <c r="F4" s="2" t="inlineStr">
        <is>
          <t>سایپا</t>
        </is>
      </c>
      <c r="G4" s="2" t="inlineStr">
        <is>
          <t>پیش‌فروش ویژه یلدا ۱۴۰۴ سایپا</t>
        </is>
      </c>
      <c r="H4" s="2" t="inlineStr">
        <is>
          <t>«بدون قرعه‌کشی» (عبارت تکرارشونده در پوشش رسانه‌ای؛ شعار رسمی نامشخص)</t>
        </is>
      </c>
      <c r="I4" s="2" t="inlineStr">
        <is>
          <t>جذب پیش‌پرداخت و فروش با قلاب مناسبتی یلدا</t>
        </is>
      </c>
      <c r="J4" s="2" t="inlineStr">
        <is>
          <t>متقاضیان عادی (فقط)</t>
        </is>
      </c>
      <c r="K4" s="2" t="inlineStr">
        <is>
          <t>اطلس S، ساینا S</t>
        </is>
      </c>
      <c r="L4" s="3" t="n">
        <v>46012</v>
      </c>
      <c r="M4" s="2" t="inlineStr">
        <is>
          <t>نامشخص</t>
        </is>
      </c>
      <c r="N4" s="2" t="inlineStr">
        <is>
          <t>آغاز ۳۰ آذر ۱۴۰۴</t>
        </is>
      </c>
      <c r="O4" s="2" t="inlineStr">
        <is>
          <t>EV-030: آذر ۱۴۰۴؛ EV-031: آذر ۱۴۰۴؛ EV-032: آذر ۱۴۰۴</t>
        </is>
      </c>
      <c r="P4" s="2" t="inlineStr">
        <is>
          <t>سراسری (اینترنتی)</t>
        </is>
      </c>
      <c r="Q4" s="2" t="inlineStr">
        <is>
          <t>سامانه فروش اینترنتی؛ پوشش خبری</t>
        </is>
      </c>
      <c r="R4" s="2" t="inlineStr">
        <is>
          <t>پیوند فروش با مناسبت فرهنگی یلدا</t>
        </is>
      </c>
      <c r="S4" s="2" t="inlineStr">
        <is>
          <t>بخشنامه فروش / صفحه ثبت‌نام</t>
        </is>
      </c>
      <c r="T4" s="2" t="inlineStr">
        <is>
          <t>پیش‌پرداخت ۲۵۲ م.ت (ساینا S) و ۳۵۶ م.ت (اطلس S)؛ سود مشارکت ۱۵-۱۶٪</t>
        </is>
      </c>
      <c r="U4" s="2" t="inlineStr">
        <is>
          <t>نامشخص</t>
        </is>
      </c>
      <c r="V4" s="2" t="inlineStr">
        <is>
          <t>EV-030;EV-031;EV-032</t>
        </is>
      </c>
      <c r="W4" s="4" t="inlineStr">
        <is>
          <t>https://www.asriran.com/fa/news/1124434/</t>
        </is>
      </c>
      <c r="X4" s="2" t="inlineStr">
        <is>
          <t>نامشخص</t>
        </is>
      </c>
      <c r="Y4" s="2" t="inlineStr">
        <is>
          <t>WebSearch — 2026-10-10</t>
        </is>
      </c>
      <c r="Z4" s="2" t="inlineStr">
        <is>
          <t>تأییدشده (چند منبع هم‌راستا)</t>
        </is>
      </c>
      <c r="AA4" s="2" t="inlineStr">
        <is>
          <t>Medium</t>
        </is>
      </c>
      <c r="AB4" s="2" t="inlineStr">
        <is>
          <t>محتوای خلاقه/تبلیغاتی مستقل از بخشنامه یافت نشد</t>
        </is>
      </c>
      <c r="AC4" s="2" t="inlineStr">
        <is>
          <t>داده عمومی قابل اتکا پیدا نشد</t>
        </is>
      </c>
    </row>
    <row r="5">
      <c r="A5" s="2" t="inlineStr">
        <is>
          <t>CMP-004</t>
        </is>
      </c>
      <c r="B5" s="2" t="inlineStr">
        <is>
          <t>طرح فروش (فعالیت فروش؛ مرز با کمپین)</t>
        </is>
      </c>
      <c r="C5" s="2" t="inlineStr">
        <is>
          <t>5. پیشنهاد ویژه (مناسبتی)</t>
        </is>
      </c>
      <c r="D5" s="2" t="inlineStr">
        <is>
          <t>BR-003</t>
        </is>
      </c>
      <c r="E5" s="2" t="inlineStr">
        <is>
          <t>سایپا — شاهین، آریا، اطلس، ساینا، کوییک، ۱۵۱</t>
        </is>
      </c>
      <c r="F5" s="2" t="inlineStr">
        <is>
          <t>سایپا</t>
        </is>
      </c>
      <c r="G5" s="2" t="inlineStr">
        <is>
          <t>فروش فوری/فوق‌العاده سایپا ویژه دهه فجر ۱۴۰۴</t>
        </is>
      </c>
      <c r="H5" s="2" t="inlineStr">
        <is>
          <t>نامشخص</t>
        </is>
      </c>
      <c r="I5" s="2" t="inlineStr">
        <is>
          <t>فروش سریع</t>
        </is>
      </c>
      <c r="J5" s="2" t="inlineStr">
        <is>
          <t>متقاضیان عادی</t>
        </is>
      </c>
      <c r="K5" s="2" t="inlineStr">
        <is>
          <t>وانت سایپا ۱۵۱ ارتقایافته</t>
        </is>
      </c>
      <c r="L5" s="3" t="n">
        <v>46054</v>
      </c>
      <c r="M5" s="2" t="inlineStr">
        <is>
          <t>نامشخص</t>
        </is>
      </c>
      <c r="N5" s="2" t="inlineStr">
        <is>
          <t>دهه فجر بهمن ۱۴۰۴ (تاریخ دقیق نامشخص)</t>
        </is>
      </c>
      <c r="O5" s="2" t="inlineStr">
        <is>
          <t>EV-033: بهمن ۱۴۰۴</t>
        </is>
      </c>
      <c r="P5" s="2" t="inlineStr">
        <is>
          <t>سراسری</t>
        </is>
      </c>
      <c r="Q5" s="2" t="inlineStr">
        <is>
          <t>سامانه فروش</t>
        </is>
      </c>
      <c r="R5" s="2" t="inlineStr">
        <is>
          <t>قلاب مناسبتی دهه فجر</t>
        </is>
      </c>
      <c r="S5" s="2" t="inlineStr">
        <is>
          <t>بخشنامه</t>
        </is>
      </c>
      <c r="T5" s="2" t="inlineStr">
        <is>
          <t>فروش فوری تا تکمیل ظرفیت</t>
        </is>
      </c>
      <c r="U5" s="2" t="inlineStr">
        <is>
          <t>نامشخص</t>
        </is>
      </c>
      <c r="V5" s="2" t="inlineStr">
        <is>
          <t>EV-033</t>
        </is>
      </c>
      <c r="W5" s="4" t="inlineStr">
        <is>
          <t>https://www.shahrekhabar.com/news/177011802098795</t>
        </is>
      </c>
      <c r="X5" s="2" t="inlineStr">
        <is>
          <t>نامشخص</t>
        </is>
      </c>
      <c r="Y5" s="2" t="inlineStr">
        <is>
          <t>WebSearch — 2026-10-10</t>
        </is>
      </c>
      <c r="Z5" s="2" t="inlineStr">
        <is>
          <t>نیازمند تأیید</t>
        </is>
      </c>
      <c r="AA5" s="2" t="inlineStr">
        <is>
          <t>Low</t>
        </is>
      </c>
      <c r="AB5" s="2" t="inlineStr">
        <is>
          <t>یک منبع تجمیع‌کننده؛ تاریخ شروع از تقویم مناسبت برآورد شده</t>
        </is>
      </c>
      <c r="AC5" s="2" t="inlineStr">
        <is>
          <t>داده عمومی قابل اتکا پیدا نشد</t>
        </is>
      </c>
    </row>
    <row r="6">
      <c r="A6" s="2" t="inlineStr">
        <is>
          <t>CMP-005</t>
        </is>
      </c>
      <c r="B6" s="2" t="inlineStr">
        <is>
          <t>طرح فروش (فعالیت فروش؛ مرز با کمپین)</t>
        </is>
      </c>
      <c r="C6" s="2" t="inlineStr">
        <is>
          <t>3. فروش و جذب مشتری</t>
        </is>
      </c>
      <c r="D6" s="2" t="inlineStr">
        <is>
          <t>BR-003</t>
        </is>
      </c>
      <c r="E6" s="2" t="inlineStr">
        <is>
          <t>سایپا — شاهین، آریا، اطلس، ساینا، کوییک، ۱۵۱</t>
        </is>
      </c>
      <c r="F6" s="2" t="inlineStr">
        <is>
          <t>سایپا</t>
        </is>
      </c>
      <c r="G6" s="2" t="inlineStr">
        <is>
          <t>ثبت‌نام سایپا ۱۵۱ ارتقایافته (GX)</t>
        </is>
      </c>
      <c r="H6" s="2" t="inlineStr">
        <is>
          <t>نامشخص</t>
        </is>
      </c>
      <c r="I6" s="2" t="inlineStr">
        <is>
          <t>فروش</t>
        </is>
      </c>
      <c r="J6" s="2" t="inlineStr">
        <is>
          <t>نامشخص</t>
        </is>
      </c>
      <c r="K6" s="2" t="inlineStr">
        <is>
          <t>وانت ۱۵۱ GX</t>
        </is>
      </c>
      <c r="L6" s="3" t="n">
        <v>45962</v>
      </c>
      <c r="M6" s="2" t="inlineStr">
        <is>
          <t>نامشخص</t>
        </is>
      </c>
      <c r="N6" s="2" t="inlineStr">
        <is>
          <t>از ۱۰ آبان ۱۴۰۴</t>
        </is>
      </c>
      <c r="O6" s="2" t="inlineStr">
        <is>
          <t>EV-039: آبان ۱۴۰۴</t>
        </is>
      </c>
      <c r="P6" s="2" t="inlineStr">
        <is>
          <t>سراسری</t>
        </is>
      </c>
      <c r="Q6" s="2" t="inlineStr">
        <is>
          <t>سامانه فروش</t>
        </is>
      </c>
      <c r="R6" s="2" t="inlineStr">
        <is>
          <t>نامشخص</t>
        </is>
      </c>
      <c r="S6" s="2" t="inlineStr">
        <is>
          <t>بخشنامه</t>
        </is>
      </c>
      <c r="T6" s="2" t="inlineStr">
        <is>
          <t>تحویل هفته چهارم پس از سفارش</t>
        </is>
      </c>
      <c r="U6" s="2" t="inlineStr">
        <is>
          <t>نامشخص</t>
        </is>
      </c>
      <c r="V6" s="2" t="inlineStr">
        <is>
          <t>EV-039</t>
        </is>
      </c>
      <c r="W6" s="4" t="inlineStr">
        <is>
          <t>https://www.parsine.com/%D8%A8%D8%AE%D8%B4-%D8%A7%D9%82%D8%AA%D8%B5%D8%A7%D8%AF%DB%8C-43/948944-</t>
        </is>
      </c>
      <c r="X6" s="2" t="inlineStr">
        <is>
          <t>نامشخص</t>
        </is>
      </c>
      <c r="Y6" s="2" t="inlineStr">
        <is>
          <t>WebSearch — 2026-10-10</t>
        </is>
      </c>
      <c r="Z6" s="2" t="inlineStr">
        <is>
          <t>نیازمند تأیید</t>
        </is>
      </c>
      <c r="AA6" s="2" t="inlineStr">
        <is>
          <t>Low</t>
        </is>
      </c>
      <c r="AB6" s="2" t="inlineStr">
        <is>
          <t>فعالیت فروش عادی؛ شاهد تبلیغاتی ندارد</t>
        </is>
      </c>
      <c r="AC6" s="2" t="inlineStr">
        <is>
          <t>داده عمومی قابل اتکا پیدا نشد</t>
        </is>
      </c>
    </row>
    <row r="7">
      <c r="A7" s="2" t="inlineStr">
        <is>
          <t>CMP-006</t>
        </is>
      </c>
      <c r="B7" s="2" t="inlineStr">
        <is>
          <t>کمپین تبلیغاتی/ترویجی</t>
        </is>
      </c>
      <c r="C7" s="2" t="inlineStr">
        <is>
          <t>2. معرفی/رونمایی محصول</t>
        </is>
      </c>
      <c r="D7" s="2" t="inlineStr">
        <is>
          <t>BR-003</t>
        </is>
      </c>
      <c r="E7" s="2" t="inlineStr">
        <is>
          <t>سایپا — شاهین، آریا، اطلس، ساینا، کوییک، ۱۵۱</t>
        </is>
      </c>
      <c r="F7" s="2" t="inlineStr">
        <is>
          <t>سایپا</t>
        </is>
      </c>
      <c r="G7" s="2" t="inlineStr">
        <is>
          <t>رونمایی آریانو (پلاگین‌هیبرید)، وانت ۲۵۱ و زامیاد Z25 و افتتاح خط تولید آریا با حضور وزیر صمت</t>
        </is>
      </c>
      <c r="H7" s="2" t="inlineStr">
        <is>
          <t>«اولین پلاگین‌هیبرید کشور» (تعبیر پوشش رسانه‌ای)</t>
        </is>
      </c>
      <c r="I7" s="2" t="inlineStr">
        <is>
          <t>معرفی محصول و اعتبار رسانه‌ای</t>
        </is>
      </c>
      <c r="J7" s="2" t="inlineStr">
        <is>
          <t>رسانه‌ها و عموم</t>
        </is>
      </c>
      <c r="K7" s="2" t="inlineStr">
        <is>
          <t>آریانو، وانت ۲۵۱، زامیاد Z25؛ خانواده موتور جدید</t>
        </is>
      </c>
      <c r="L7" s="3" t="n">
        <v>46287</v>
      </c>
      <c r="M7" s="2" t="inlineStr">
        <is>
          <t>نامشخص</t>
        </is>
      </c>
      <c r="N7" s="2" t="inlineStr">
        <is>
          <t>۳۱ شهریور ۱۴۰۵</t>
        </is>
      </c>
      <c r="O7" s="2" t="inlineStr">
        <is>
          <t>EV-035: شهریور ۱۴۰۵؛ EV-038: مهر ۱۴۰۵؛ EV-120: مهر ۱۴۰۵؛ EV-121: مهر ۱۴۰۵؛ EV-122: مهر ۱۴۰۵؛ EV-123: مهر ۱۴۰۵</t>
        </is>
      </c>
      <c r="P7" s="2" t="inlineStr">
        <is>
          <t>تهران</t>
        </is>
      </c>
      <c r="Q7" s="2" t="inlineStr">
        <is>
          <t>رویداد رسمی؛ روابط عمومی/رسانه</t>
        </is>
      </c>
      <c r="R7" s="2" t="inlineStr">
        <is>
          <t>رونمایی رسمی همراه با افتتاح خط تولید و حضور مقام دولتی</t>
        </is>
      </c>
      <c r="S7" s="2" t="inlineStr">
        <is>
          <t>مراسم رونمایی</t>
        </is>
      </c>
      <c r="T7" s="2" t="inlineStr">
        <is>
          <t>نامشخص</t>
        </is>
      </c>
      <c r="U7" s="2" t="inlineStr">
        <is>
          <t>نامشخص</t>
        </is>
      </c>
      <c r="V7" s="2" t="inlineStr">
        <is>
          <t>EV-035;EV-038;EV-120;EV-121;EV-122;EV-123</t>
        </is>
      </c>
      <c r="W7" s="4" t="inlineStr">
        <is>
          <t>https://neshanetejarat.ir/fa/news/77453/</t>
        </is>
      </c>
      <c r="X7" s="2" t="inlineStr">
        <is>
          <t>نامشخص</t>
        </is>
      </c>
      <c r="Y7" s="2" t="inlineStr">
        <is>
          <t>WebSearch — 2026-10-10</t>
        </is>
      </c>
      <c r="Z7" s="2" t="inlineStr">
        <is>
          <t>تأییدشده (چند منبع مستقل)</t>
        </is>
      </c>
      <c r="AA7" s="2" t="inlineStr">
        <is>
          <t>Medium</t>
        </is>
      </c>
      <c r="AB7" s="2" t="inlineStr">
        <is>
          <t>ادغام با CMP-007 (همان رویداد)؛ مشخصات فنی آریانو در منابع متناقض است</t>
        </is>
      </c>
      <c r="AC7" s="2" t="inlineStr">
        <is>
          <t>داده عمومی قابل اتکا پیدا نشد</t>
        </is>
      </c>
    </row>
    <row r="8">
      <c r="A8" s="2" t="inlineStr">
        <is>
          <t>CMP-008</t>
        </is>
      </c>
      <c r="B8" s="2" t="inlineStr">
        <is>
          <t>طرح فروش (فعالیت فروش؛ مرز با کمپین)</t>
        </is>
      </c>
      <c r="C8" s="2" t="inlineStr">
        <is>
          <t>4. پیش‌فروش یا ثبت‌نام</t>
        </is>
      </c>
      <c r="D8" s="2" t="inlineStr">
        <is>
          <t>BR-020</t>
        </is>
      </c>
      <c r="E8" s="2" t="inlineStr">
        <is>
          <t>Changan</t>
        </is>
      </c>
      <c r="F8" s="2" t="inlineStr">
        <is>
          <t>سایپا</t>
        </is>
      </c>
      <c r="G8" s="2" t="inlineStr">
        <is>
          <t>پیش‌فروش چانگان CS35 و CS55 Plus سایپا (قرعه‌کشی)</t>
        </is>
      </c>
      <c r="H8" s="2" t="inlineStr">
        <is>
          <t>نامشخص</t>
        </is>
      </c>
      <c r="I8" s="2" t="inlineStr">
        <is>
          <t>جذب پیش‌پرداخت</t>
        </is>
      </c>
      <c r="J8" s="2" t="inlineStr">
        <is>
          <t>متقاضیان عادی</t>
        </is>
      </c>
      <c r="K8" s="2" t="inlineStr">
        <is>
          <t>CS35، CS55 Plus</t>
        </is>
      </c>
      <c r="L8" s="3" t="n">
        <v>46301</v>
      </c>
      <c r="M8" s="3" t="n">
        <v>46303</v>
      </c>
      <c r="N8" s="2" t="inlineStr">
        <is>
          <t>۱۴ تا ۱۶ مهر ۱۴۰۵</t>
        </is>
      </c>
      <c r="O8" s="2" t="inlineStr">
        <is>
          <t>EV-034: مهر ۱۴۰۵</t>
        </is>
      </c>
      <c r="P8" s="2" t="inlineStr">
        <is>
          <t>سراسری</t>
        </is>
      </c>
      <c r="Q8" s="2" t="inlineStr">
        <is>
          <t>سامانه فروش</t>
        </is>
      </c>
      <c r="R8" s="2" t="inlineStr">
        <is>
          <t>نامشخص</t>
        </is>
      </c>
      <c r="S8" s="2" t="inlineStr">
        <is>
          <t>بخشنامه</t>
        </is>
      </c>
      <c r="T8" s="2" t="inlineStr">
        <is>
          <t>پیش‌پرداخت علی‌الحساب ۲.۹۹ میلیارد تومان؛ تحویل اسفند ۱۴۰۵</t>
        </is>
      </c>
      <c r="U8" s="2" t="inlineStr">
        <is>
          <t>نامشخص</t>
        </is>
      </c>
      <c r="V8" s="2" t="inlineStr">
        <is>
          <t>EV-034</t>
        </is>
      </c>
      <c r="W8" s="4" t="inlineStr">
        <is>
          <t>https://nabzgheymat.ir/%D9%BE%DB%8C%D8%B4-%D9%81%D8%B1%D9%88%D8%B4-%DA%86%D8%A7%D9%86%DA%AF%D8%A7%D9%86-441p-%D8%B3%D8%A7%DB%8C%D9%BE%D8%A7-%E2%94%82-%D9%85%D8%AA%D9%82%D8%A7%D8%B6%DB%8C%D8%A7%D9%86-%D8%AF%D8%B1-%D8%B7/</t>
        </is>
      </c>
      <c r="X8" s="2" t="inlineStr">
        <is>
          <t>نامشخص</t>
        </is>
      </c>
      <c r="Y8" s="2" t="inlineStr">
        <is>
          <t>WebSearch — 2026-10-10</t>
        </is>
      </c>
      <c r="Z8" s="2" t="inlineStr">
        <is>
          <t>نیازمند تأیید</t>
        </is>
      </c>
      <c r="AA8" s="2" t="inlineStr">
        <is>
          <t>Low</t>
        </is>
      </c>
      <c r="AB8" s="2" t="inlineStr">
        <is>
          <t>منبع قیمت‌محور غیررسمی</t>
        </is>
      </c>
      <c r="AC8" s="2" t="inlineStr">
        <is>
          <t>داده عمومی قابل اتکا پیدا نشد</t>
        </is>
      </c>
    </row>
    <row r="9">
      <c r="A9" s="2" t="inlineStr">
        <is>
          <t>CMP-009</t>
        </is>
      </c>
      <c r="B9" s="2" t="inlineStr">
        <is>
          <t>طرح فروش (فعالیت فروش؛ مرز با کمپین)</t>
        </is>
      </c>
      <c r="C9" s="2" t="inlineStr">
        <is>
          <t>5. تخفیف/پیشنهاد ویژه</t>
        </is>
      </c>
      <c r="D9" s="2" t="inlineStr">
        <is>
          <t>BR-003;BR-023</t>
        </is>
      </c>
      <c r="E9" s="2" t="inlineStr">
        <is>
          <t>سایپا — شاهین، آریا، اطلس، ساینا، کوییک، ۱۵۱؛ Citroën</t>
        </is>
      </c>
      <c r="F9" s="2" t="inlineStr">
        <is>
          <t>سایپا</t>
        </is>
      </c>
      <c r="G9" s="2" t="inlineStr">
        <is>
          <t>فروش فوق‌العاده کوییک و سیتروئن C3-XR</t>
        </is>
      </c>
      <c r="H9" s="2" t="inlineStr">
        <is>
          <t>«بدون قرعه‌کشی»</t>
        </is>
      </c>
      <c r="I9" s="2" t="inlineStr">
        <is>
          <t>فروش</t>
        </is>
      </c>
      <c r="J9" s="2" t="inlineStr">
        <is>
          <t>نامشخص</t>
        </is>
      </c>
      <c r="K9" s="2" t="inlineStr">
        <is>
          <t>کوییک GX-R، کوییک R، سیتروئن C3-XR</t>
        </is>
      </c>
      <c r="L9" s="2" t="inlineStr">
        <is>
          <t>نامشخص</t>
        </is>
      </c>
      <c r="M9" s="2" t="inlineStr">
        <is>
          <t>نامشخص</t>
        </is>
      </c>
      <c r="N9" s="2" t="inlineStr">
        <is>
          <t>مرداد ۱۴۰۵</t>
        </is>
      </c>
      <c r="O9" s="2" t="inlineStr">
        <is>
          <t>EV-036: مرداد ۱۴۰۵</t>
        </is>
      </c>
      <c r="P9" s="2" t="inlineStr">
        <is>
          <t>سراسری</t>
        </is>
      </c>
      <c r="Q9" s="2" t="inlineStr">
        <is>
          <t>سامانه فروش</t>
        </is>
      </c>
      <c r="R9" s="2" t="inlineStr">
        <is>
          <t>نامشخص</t>
        </is>
      </c>
      <c r="S9" s="2" t="inlineStr">
        <is>
          <t>بخشنامه</t>
        </is>
      </c>
      <c r="T9" s="2" t="inlineStr">
        <is>
          <t>تحویل ۹۰ روزه</t>
        </is>
      </c>
      <c r="U9" s="2" t="inlineStr">
        <is>
          <t>نامشخص</t>
        </is>
      </c>
      <c r="V9" s="2" t="inlineStr">
        <is>
          <t>EV-036</t>
        </is>
      </c>
      <c r="W9" s="4" t="inlineStr">
        <is>
          <t>https://digiato.com/price-terms-of-sale-car/saipa-publishes-conditions-for-sale-of-quick-and-citroen-c3-xr-august-2026</t>
        </is>
      </c>
      <c r="X9" s="2" t="inlineStr">
        <is>
          <t>نامشخص</t>
        </is>
      </c>
      <c r="Y9" s="2" t="inlineStr">
        <is>
          <t>WebSearch — 2026-10-10</t>
        </is>
      </c>
      <c r="Z9" s="2" t="inlineStr">
        <is>
          <t>نیازمند تأیید</t>
        </is>
      </c>
      <c r="AA9" s="2" t="inlineStr">
        <is>
          <t>Low</t>
        </is>
      </c>
      <c r="AB9" s="2" t="inlineStr">
        <is>
          <t>فعالیت فروش؛ شاهد تبلیغاتی مستقل ندارد</t>
        </is>
      </c>
      <c r="AC9" s="2" t="inlineStr">
        <is>
          <t>داده عمومی قابل اتکا پیدا نشد</t>
        </is>
      </c>
    </row>
    <row r="10">
      <c r="A10" s="2" t="inlineStr">
        <is>
          <t>CMP-010</t>
        </is>
      </c>
      <c r="B10" s="2" t="inlineStr">
        <is>
          <t>طرح فروش (فعالیت فروش؛ مرز با کمپین)</t>
        </is>
      </c>
      <c r="C10" s="2" t="inlineStr">
        <is>
          <t>4. پیش‌فروش یا ثبت‌نام</t>
        </is>
      </c>
      <c r="D10" s="2" t="inlineStr">
        <is>
          <t>BR-003;BR-004</t>
        </is>
      </c>
      <c r="E10" s="2" t="inlineStr">
        <is>
          <t>سایپا — شاهین، آریا، اطلس، ساینا، کوییک، ۱۵۱؛ پارس خودرو (گروه سایپا)</t>
        </is>
      </c>
      <c r="F10" s="2" t="inlineStr">
        <is>
          <t>سایپا</t>
        </is>
      </c>
      <c r="G10" s="2" t="inlineStr">
        <is>
          <t>پیش‌فروش مشارکتی سایپا شهریور ۱۴۰۵</t>
        </is>
      </c>
      <c r="H10" s="2" t="inlineStr">
        <is>
          <t>نامشخص</t>
        </is>
      </c>
      <c r="I10" s="2" t="inlineStr">
        <is>
          <t>جذب پیش‌پرداخت</t>
        </is>
      </c>
      <c r="J10" s="2" t="inlineStr">
        <is>
          <t>ظرفیت‌های استفاده‌نشده طرح جوانی جمعیت</t>
        </is>
      </c>
      <c r="K10" s="2" t="inlineStr">
        <is>
          <t>آریا اتوماتیک، پارس نوآ، کوییک GX-L، کوییک S</t>
        </is>
      </c>
      <c r="L10" s="3" t="n">
        <v>46257</v>
      </c>
      <c r="M10" s="2" t="inlineStr">
        <is>
          <t>نامشخص</t>
        </is>
      </c>
      <c r="N10" s="2" t="inlineStr">
        <is>
          <t>از ۱ شهریور ۱۴۰۵</t>
        </is>
      </c>
      <c r="O10" s="2" t="inlineStr">
        <is>
          <t>EV-037: شهریور ۱۴۰۵</t>
        </is>
      </c>
      <c r="P10" s="2" t="inlineStr">
        <is>
          <t>سراسری</t>
        </is>
      </c>
      <c r="Q10" s="2" t="inlineStr">
        <is>
          <t>سامانه فروش</t>
        </is>
      </c>
      <c r="R10" s="2" t="inlineStr">
        <is>
          <t>نامشخص</t>
        </is>
      </c>
      <c r="S10" s="2" t="inlineStr">
        <is>
          <t>بخشنامه</t>
        </is>
      </c>
      <c r="T10" s="2" t="inlineStr">
        <is>
          <t>تحویل شهریور تا آبان ۱۴۰۶</t>
        </is>
      </c>
      <c r="U10" s="2" t="inlineStr">
        <is>
          <t>نامشخص</t>
        </is>
      </c>
      <c r="V10" s="2" t="inlineStr">
        <is>
          <t>EV-037</t>
        </is>
      </c>
      <c r="W10" s="4" t="inlineStr">
        <is>
          <t>https://www.eghtesadonline.com/fa/news/2160528/</t>
        </is>
      </c>
      <c r="X10" s="2" t="inlineStr">
        <is>
          <t>نامشخص</t>
        </is>
      </c>
      <c r="Y10" s="2" t="inlineStr">
        <is>
          <t>WebSearch — 2026-10-10</t>
        </is>
      </c>
      <c r="Z10" s="2" t="inlineStr">
        <is>
          <t>نیازمند تأیید</t>
        </is>
      </c>
      <c r="AA10" s="2" t="inlineStr">
        <is>
          <t>Low</t>
        </is>
      </c>
      <c r="AB10" s="2" t="inlineStr">
        <is>
          <t>فعالیت فروش</t>
        </is>
      </c>
      <c r="AC10" s="2" t="inlineStr">
        <is>
          <t>داده عمومی قابل اتکا پیدا نشد</t>
        </is>
      </c>
    </row>
    <row r="11">
      <c r="A11" s="2" t="inlineStr">
        <is>
          <t>CMP-011</t>
        </is>
      </c>
      <c r="B11" s="2" t="inlineStr">
        <is>
          <t>کمپین نمایشگاهی/رویدادی</t>
        </is>
      </c>
      <c r="C11" s="2" t="inlineStr">
        <is>
          <t>10. نمایشگاهی و رویدادی</t>
        </is>
      </c>
      <c r="D11" s="2" t="inlineStr">
        <is>
          <t>BR-001;BR-002;BR-031</t>
        </is>
      </c>
      <c r="E11" s="2" t="inlineStr">
        <is>
          <t>ایران خودرو (IKCO) — تارا، ری‌را، دنا، سورن، پژو ۲۰۷؛ ایکو پرمیوم / سفیر (زیربرند ایران خودرو)؛ Mercedes-Benz</t>
        </is>
      </c>
      <c r="F11" s="2" t="inlineStr">
        <is>
          <t>ایران خودرو</t>
        </is>
      </c>
      <c r="G11" s="2" t="inlineStr">
        <is>
          <t>حضور ایران خودرو در هفتمین نمایشگاه خودرو تهران با سبد سواری، پرمیوم، وارداتی و تجاری + تست‌درایو</t>
        </is>
      </c>
      <c r="H11" s="2" t="inlineStr">
        <is>
          <t>نامشخص</t>
        </is>
      </c>
      <c r="I11" s="2" t="inlineStr">
        <is>
          <t>نمایش سبد محصول و تجربه محصول</t>
        </is>
      </c>
      <c r="J11" s="2" t="inlineStr">
        <is>
          <t>بازدیدکنندگان؛ رسانه‌ها؛ مشتریان سازمانی (تجاری)</t>
        </is>
      </c>
      <c r="K11" s="2" t="inlineStr">
        <is>
          <t>سفیر R7، شوال ۲، اینوی هیبرید، ری‌را، تارا توربو، مرسدس A200L/C200L، فوتون و تجاری‌ها</t>
        </is>
      </c>
      <c r="L11" s="3" t="n">
        <v>46279</v>
      </c>
      <c r="M11" s="3" t="n">
        <v>46282</v>
      </c>
      <c r="N11" s="2" t="inlineStr">
        <is>
          <t>۲۳ تا ۲۶ شهریور ۱۴۰۵ (روز رسانه ۲۲ شهریور)</t>
        </is>
      </c>
      <c r="O11" s="2" t="inlineStr">
        <is>
          <t>EV-020: شهریور ۱۴۰۵؛ EV-021: شهریور ۱۴۰۵؛ EV-003: شهریور ۱۴۰۵؛ EV-004: شهریور ۱۴۰۵</t>
        </is>
      </c>
      <c r="P11" s="2" t="inlineStr">
        <is>
          <t>تهران (شهر آفتاب)</t>
        </is>
      </c>
      <c r="Q11" s="2" t="inlineStr">
        <is>
          <t>نمایشگاه؛ تست‌درایو؛ پوشش رسانه‌ای</t>
        </is>
      </c>
      <c r="R11" s="2" t="inlineStr">
        <is>
          <t>تجربه رانندگی (تست‌درایو ۵ محصول)</t>
        </is>
      </c>
      <c r="S11" s="2" t="inlineStr">
        <is>
          <t>غرفه + تست‌درایو</t>
        </is>
      </c>
      <c r="T11" s="2" t="inlineStr">
        <is>
          <t>نامشخص</t>
        </is>
      </c>
      <c r="U11" s="2" t="inlineStr">
        <is>
          <t>نامشخص</t>
        </is>
      </c>
      <c r="V11" s="2" t="inlineStr">
        <is>
          <t>EV-020;EV-021;EV-003;EV-004</t>
        </is>
      </c>
      <c r="W11" s="4" t="inlineStr">
        <is>
          <t>https://www.eghtesadonline.com/fa/news/2163052/</t>
        </is>
      </c>
      <c r="X11" s="2" t="inlineStr">
        <is>
          <t>نامشخص</t>
        </is>
      </c>
      <c r="Y11" s="2" t="inlineStr">
        <is>
          <t>WebSearch — 2026-10-10</t>
        </is>
      </c>
      <c r="Z11" s="2" t="inlineStr">
        <is>
          <t>تأییدشده (رویداد)</t>
        </is>
      </c>
      <c r="AA11" s="2" t="inlineStr">
        <is>
          <t>Medium</t>
        </is>
      </c>
      <c r="AB11" s="2" t="inlineStr">
        <is>
          <t>فهرست محصولات از خلاصه یک منبع است؛ «اینووی» و «شوال» در گزارش‌های فاز ۲ در غرفه گروه بهمن آمده‌اند (EV-139/140)، پس انتساب آن‌ها به غرفه ایران خودرو نیازمند تأیید است</t>
        </is>
      </c>
      <c r="AC11" s="2" t="inlineStr">
        <is>
          <t>داده عمومی قابل اتکا پیدا نشد</t>
        </is>
      </c>
    </row>
    <row r="12">
      <c r="A12" s="2" t="inlineStr">
        <is>
          <t>CMP-012</t>
        </is>
      </c>
      <c r="B12" s="2" t="inlineStr">
        <is>
          <t>طرح فروش (فعالیت فروش؛ مرز با کمپین)</t>
        </is>
      </c>
      <c r="C12" s="2" t="inlineStr">
        <is>
          <t>3. فروش و جذب مشتری</t>
        </is>
      </c>
      <c r="D12" s="2" t="inlineStr">
        <is>
          <t>BR-001</t>
        </is>
      </c>
      <c r="E12" s="2" t="inlineStr">
        <is>
          <t>ایران خودرو (IKCO) — تارا، ری‌را، دنا، سورن، پژو ۲۰۷</t>
        </is>
      </c>
      <c r="F12" s="2" t="inlineStr">
        <is>
          <t>ایران خودرو</t>
        </is>
      </c>
      <c r="G12" s="2" t="inlineStr">
        <is>
          <t>فروش فوری ایران خودرو شهریور ۱۴۰۵ (تارا، دناپلاس، سورن و…)</t>
        </is>
      </c>
      <c r="H12" s="2" t="inlineStr">
        <is>
          <t>نامشخص</t>
        </is>
      </c>
      <c r="I12" s="2" t="inlineStr">
        <is>
          <t>فروش</t>
        </is>
      </c>
      <c r="J12" s="2" t="inlineStr">
        <is>
          <t>نامشخص</t>
        </is>
      </c>
      <c r="K12" s="2" t="inlineStr">
        <is>
          <t>۸ محصول از جمله تارا، دناپلاس، سورن</t>
        </is>
      </c>
      <c r="L12" s="2" t="inlineStr">
        <is>
          <t>نامشخص</t>
        </is>
      </c>
      <c r="M12" s="2" t="inlineStr">
        <is>
          <t>نامشخص</t>
        </is>
      </c>
      <c r="N12" s="2" t="inlineStr">
        <is>
          <t>شهریور ۱۴۰۵</t>
        </is>
      </c>
      <c r="O12" s="2" t="inlineStr">
        <is>
          <t>EV-022: شهریور ۱۴۰۵؛ EV-023: شهریور ۱۴۰۵</t>
        </is>
      </c>
      <c r="P12" s="2" t="inlineStr">
        <is>
          <t>سراسری</t>
        </is>
      </c>
      <c r="Q12" s="2" t="inlineStr">
        <is>
          <t>سامانه فروش</t>
        </is>
      </c>
      <c r="R12" s="2" t="inlineStr">
        <is>
          <t>نامشخص</t>
        </is>
      </c>
      <c r="S12" s="2" t="inlineStr">
        <is>
          <t>بخشنامه</t>
        </is>
      </c>
      <c r="T12" s="2" t="inlineStr">
        <is>
          <t>تحویل ۳۰ روزه</t>
        </is>
      </c>
      <c r="U12" s="2" t="inlineStr">
        <is>
          <t>نامشخص</t>
        </is>
      </c>
      <c r="V12" s="2" t="inlineStr">
        <is>
          <t>EV-022;EV-023</t>
        </is>
      </c>
      <c r="W12" s="4" t="inlineStr">
        <is>
          <t>https://fararu.com/fa/news/996573/</t>
        </is>
      </c>
      <c r="X12" s="2" t="inlineStr">
        <is>
          <t>نامشخص</t>
        </is>
      </c>
      <c r="Y12" s="2" t="inlineStr">
        <is>
          <t>WebSearch — 2026-10-10</t>
        </is>
      </c>
      <c r="Z12" s="2" t="inlineStr">
        <is>
          <t>نیازمند تأیید</t>
        </is>
      </c>
      <c r="AA12" s="2" t="inlineStr">
        <is>
          <t>Medium</t>
        </is>
      </c>
      <c r="AB12" s="2" t="inlineStr">
        <is>
          <t>فعالیت فروش؛ دو منبع هم‌راستا</t>
        </is>
      </c>
      <c r="AC12" s="2" t="inlineStr">
        <is>
          <t>داده عمومی قابل اتکا پیدا نشد</t>
        </is>
      </c>
    </row>
    <row r="13">
      <c r="A13" s="2" t="inlineStr">
        <is>
          <t>CMP-013</t>
        </is>
      </c>
      <c r="B13" s="2" t="inlineStr">
        <is>
          <t>طرح فروش (فعالیت فروش؛ مرز با کمپین)</t>
        </is>
      </c>
      <c r="C13" s="2" t="inlineStr">
        <is>
          <t>3. فروش و جذب مشتری</t>
        </is>
      </c>
      <c r="D13" s="2" t="inlineStr">
        <is>
          <t>BR-001</t>
        </is>
      </c>
      <c r="E13" s="2" t="inlineStr">
        <is>
          <t>ایران خودرو (IKCO) — تارا، ری‌را، دنا، سورن، پژو ۲۰۷</t>
        </is>
      </c>
      <c r="F13" s="2" t="inlineStr">
        <is>
          <t>ایران خودرو</t>
        </is>
      </c>
      <c r="G13" s="2" t="inlineStr">
        <is>
          <t>مرحله شانزدهم عرضه محصولات ایران خودرو (مهر ۱۴۰۵)</t>
        </is>
      </c>
      <c r="H13" s="2" t="inlineStr">
        <is>
          <t>نامشخص</t>
        </is>
      </c>
      <c r="I13" s="2" t="inlineStr">
        <is>
          <t>فروش</t>
        </is>
      </c>
      <c r="J13" s="2" t="inlineStr">
        <is>
          <t>متقاضیان عادی؛ طرح حمایت از خانواده و جوانی جمعیت؛ جایگزینی فرسوده</t>
        </is>
      </c>
      <c r="K13" s="2" t="inlineStr">
        <is>
          <t>۲۵ محصول (۳۱ هزار دستگاه)</t>
        </is>
      </c>
      <c r="L13" s="3" t="n">
        <v>46302</v>
      </c>
      <c r="M13" s="2" t="inlineStr">
        <is>
          <t>نامشخص</t>
        </is>
      </c>
      <c r="N13" s="2" t="inlineStr">
        <is>
          <t>از ۱۵ مهر ۱۴۰۵</t>
        </is>
      </c>
      <c r="O13" s="2" t="inlineStr">
        <is>
          <t>EV-024: مهر ۱۴۰۵</t>
        </is>
      </c>
      <c r="P13" s="2" t="inlineStr">
        <is>
          <t>سراسری</t>
        </is>
      </c>
      <c r="Q13" s="2" t="inlineStr">
        <is>
          <t>سامانه فروش</t>
        </is>
      </c>
      <c r="R13" s="2" t="inlineStr">
        <is>
          <t>نامشخص</t>
        </is>
      </c>
      <c r="S13" s="2" t="inlineStr">
        <is>
          <t>بخشنامه</t>
        </is>
      </c>
      <c r="T13" s="2" t="inlineStr">
        <is>
          <t>نامشخص</t>
        </is>
      </c>
      <c r="U13" s="2" t="inlineStr">
        <is>
          <t>نامشخص</t>
        </is>
      </c>
      <c r="V13" s="2" t="inlineStr">
        <is>
          <t>EV-024</t>
        </is>
      </c>
      <c r="W13" s="4" t="inlineStr">
        <is>
          <t>https://www.pedal.ir/sales-plans/747371-iran-khodro-prices-sales-1405/</t>
        </is>
      </c>
      <c r="X13" s="2" t="inlineStr">
        <is>
          <t>نامشخص</t>
        </is>
      </c>
      <c r="Y13" s="2" t="inlineStr">
        <is>
          <t>WebSearch — 2026-10-10</t>
        </is>
      </c>
      <c r="Z13" s="2" t="inlineStr">
        <is>
          <t>نیازمند تأیید</t>
        </is>
      </c>
      <c r="AA13" s="2" t="inlineStr">
        <is>
          <t>Low</t>
        </is>
      </c>
      <c r="AB13" s="2" t="inlineStr">
        <is>
          <t>فعالیت فروش</t>
        </is>
      </c>
      <c r="AC13" s="2" t="inlineStr">
        <is>
          <t>داده عمومی قابل اتکا پیدا نشد</t>
        </is>
      </c>
    </row>
    <row r="14">
      <c r="A14" s="2" t="inlineStr">
        <is>
          <t>CMP-014</t>
        </is>
      </c>
      <c r="B14" s="2" t="inlineStr">
        <is>
          <t>کمپین تبلیغاتی/ترویجی</t>
        </is>
      </c>
      <c r="C14" s="2" t="inlineStr">
        <is>
          <t>11. خدمات پس از فروش و وفادارسازی</t>
        </is>
      </c>
      <c r="D14" s="2" t="inlineStr">
        <is>
          <t>BR-001</t>
        </is>
      </c>
      <c r="E14" s="2" t="inlineStr">
        <is>
          <t>ایران خودرو (IKCO) — تارا، ری‌را، دنا، سورن، پژو ۲۰۷</t>
        </is>
      </c>
      <c r="F14" s="2" t="inlineStr">
        <is>
          <t>ایران خودرو / ایساکو</t>
        </is>
      </c>
      <c r="G14" s="2" t="inlineStr">
        <is>
          <t>فراخوان تعویض رایگان قطعه محافظ گرمایشی پژو ۲۰۶، ۲۰۷ و رانا</t>
        </is>
      </c>
      <c r="H14" s="2" t="inlineStr">
        <is>
          <t>نامشخص</t>
        </is>
      </c>
      <c r="I14" s="2" t="inlineStr">
        <is>
          <t>ایمنی و حفظ اعتماد مشتری</t>
        </is>
      </c>
      <c r="J14" s="2" t="inlineStr">
        <is>
          <t>مالکان ۲۰۶، ۲۰۷ و رانا</t>
        </is>
      </c>
      <c r="K14" s="2" t="inlineStr">
        <is>
          <t>پژو ۲۰۶، ۲۰۷، رانا</t>
        </is>
      </c>
      <c r="L14" s="2" t="inlineStr">
        <is>
          <t>نامشخص</t>
        </is>
      </c>
      <c r="M14" s="3" t="n">
        <v>46287</v>
      </c>
      <c r="N14" s="2" t="inlineStr">
        <is>
          <t>تا پایان تابستان ۱۴۰۵</t>
        </is>
      </c>
      <c r="O14" s="2" t="inlineStr">
        <is>
          <t>EV-027: ۱۴۰۵</t>
        </is>
      </c>
      <c r="P14" s="2" t="inlineStr">
        <is>
          <t>سراسری (نمایندگی‌ها)</t>
        </is>
      </c>
      <c r="Q14" s="2" t="inlineStr">
        <is>
          <t>اطلاعیه/رسانه؛ شبکه نمایندگی</t>
        </is>
      </c>
      <c r="R14" s="2" t="inlineStr">
        <is>
          <t>نامشخص</t>
        </is>
      </c>
      <c r="S14" s="2" t="inlineStr">
        <is>
          <t>اطلاعیه فراخوان</t>
        </is>
      </c>
      <c r="T14" s="2" t="inlineStr">
        <is>
          <t>تعویض رایگان</t>
        </is>
      </c>
      <c r="U14" s="2" t="inlineStr">
        <is>
          <t>نامشخص</t>
        </is>
      </c>
      <c r="V14" s="2" t="inlineStr">
        <is>
          <t>EV-027</t>
        </is>
      </c>
      <c r="W14" s="4" t="inlineStr">
        <is>
          <t>https://www.hamrah-mechanic.com/mag/iran-khodro-recalls-peugeot-206-207-and-rana-heating-components/</t>
        </is>
      </c>
      <c r="X14" s="2" t="inlineStr">
        <is>
          <t>نامشخص</t>
        </is>
      </c>
      <c r="Y14" s="2" t="inlineStr">
        <is>
          <t>WebSearch — 2026-10-10</t>
        </is>
      </c>
      <c r="Z14" s="2" t="inlineStr">
        <is>
          <t>نیازمند تأیید</t>
        </is>
      </c>
      <c r="AA14" s="2" t="inlineStr">
        <is>
          <t>Low</t>
        </is>
      </c>
      <c r="AB14" s="2" t="inlineStr">
        <is>
          <t>فراخوان ایمنی است و ممکن است کمپین ترویجی محسوب نشود</t>
        </is>
      </c>
      <c r="AC14" s="2" t="inlineStr">
        <is>
          <t>داده عمومی قابل اتکا پیدا نشد</t>
        </is>
      </c>
    </row>
    <row r="15">
      <c r="A15" s="2" t="inlineStr">
        <is>
          <t>CMP-015</t>
        </is>
      </c>
      <c r="B15" s="2" t="inlineStr">
        <is>
          <t>کمپین تبلیغاتی/ترویجی</t>
        </is>
      </c>
      <c r="C15" s="2" t="inlineStr">
        <is>
          <t>2. معرفی محصول / شوروم پرمیوم</t>
        </is>
      </c>
      <c r="D15" s="2" t="inlineStr">
        <is>
          <t>BR-002</t>
        </is>
      </c>
      <c r="E15" s="2" t="inlineStr">
        <is>
          <t>ایکو پرمیوم / سفیر (زیربرند ایران خودرو)</t>
        </is>
      </c>
      <c r="F15" s="2" t="inlineStr">
        <is>
          <t>ایران خودرو</t>
        </is>
      </c>
      <c r="G15" s="2" t="inlineStr">
        <is>
          <t>افتتاح خط تولید سفیر R7 و رونمایی سه محصول تجاری ایران خودرو؛ عرضه سفیر R7 در شوروم «ایکو پرمیوم»</t>
        </is>
      </c>
      <c r="H15" s="2" t="inlineStr">
        <is>
          <t>نامشخص</t>
        </is>
      </c>
      <c r="I15" s="2" t="inlineStr">
        <is>
          <t>جایگاه‌سازی پرمیوم</t>
        </is>
      </c>
      <c r="J15" s="2" t="inlineStr">
        <is>
          <t>خریداران پرمیوم</t>
        </is>
      </c>
      <c r="K15" s="2" t="inlineStr">
        <is>
          <t>سفیر R7؛ اتوبوس بین‌شهری سریر، کمپرسی فوتون ۶×۴، کامیونت میلر</t>
        </is>
      </c>
      <c r="L15" s="2" t="inlineStr">
        <is>
          <t>نامشخص</t>
        </is>
      </c>
      <c r="M15" s="2" t="inlineStr">
        <is>
          <t>نامشخص</t>
        </is>
      </c>
      <c r="N15" s="2" t="inlineStr">
        <is>
          <t>شهریور ۱۴۰۵ (تاریخ دقیق نامشخص)</t>
        </is>
      </c>
      <c r="O15" s="2" t="inlineStr">
        <is>
          <t>EV-025: نامشخص؛ EV-129: شهریور ۱۴۰۵</t>
        </is>
      </c>
      <c r="P15" s="2" t="inlineStr">
        <is>
          <t>نامشخص</t>
        </is>
      </c>
      <c r="Q15" s="2" t="inlineStr">
        <is>
          <t>رویداد رسمی؛ شوروم؛ رسانه</t>
        </is>
      </c>
      <c r="R15" s="2" t="inlineStr">
        <is>
          <t>نامشخص</t>
        </is>
      </c>
      <c r="S15" s="2" t="inlineStr">
        <is>
          <t>نامشخص</t>
        </is>
      </c>
      <c r="T15" s="2" t="inlineStr">
        <is>
          <t>نامشخص</t>
        </is>
      </c>
      <c r="U15" s="2" t="inlineStr">
        <is>
          <t>نامشخص</t>
        </is>
      </c>
      <c r="V15" s="2" t="inlineStr">
        <is>
          <t>EV-025;EV-129</t>
        </is>
      </c>
      <c r="W15" s="4" t="inlineStr">
        <is>
          <t>https://akharinkhabar.ir/cars/10958837/</t>
        </is>
      </c>
      <c r="X15" s="2" t="inlineStr">
        <is>
          <t>نامشخص</t>
        </is>
      </c>
      <c r="Y15" s="2" t="inlineStr">
        <is>
          <t>WebSearch — 2026-10-10</t>
        </is>
      </c>
      <c r="Z15" s="2" t="inlineStr">
        <is>
          <t>نیازمند تأیید</t>
        </is>
      </c>
      <c r="AA15" s="2" t="inlineStr">
        <is>
          <t>Low</t>
        </is>
      </c>
      <c r="AB15" s="2" t="inlineStr">
        <is>
          <t>تاریخ دقیق مراسم استخراج نشد؛ دو شاهد درباره دو جنبه متفاوت</t>
        </is>
      </c>
      <c r="AC15" s="2" t="inlineStr">
        <is>
          <t>داده عمومی قابل اتکا پیدا نشد</t>
        </is>
      </c>
    </row>
    <row r="16">
      <c r="A16" s="2" t="inlineStr">
        <is>
          <t>CMP-016</t>
        </is>
      </c>
      <c r="B16" s="2" t="inlineStr">
        <is>
          <t>طرح فروش (فعالیت فروش؛ مرز با کمپین)</t>
        </is>
      </c>
      <c r="C16" s="2" t="inlineStr">
        <is>
          <t>3. فروش و جذب مشتری</t>
        </is>
      </c>
      <c r="D16" s="2" t="inlineStr">
        <is>
          <t>BR-006</t>
        </is>
      </c>
      <c r="E16" s="2" t="inlineStr">
        <is>
          <t>MVM</t>
        </is>
      </c>
      <c r="F16" s="2" t="inlineStr">
        <is>
          <t>مدیران خودرو</t>
        </is>
      </c>
      <c r="G16" s="2" t="inlineStr">
        <is>
          <t>فروش ام‌وی‌ام X33 کراس اتوماتیک</t>
        </is>
      </c>
      <c r="H16" s="2" t="inlineStr">
        <is>
          <t>نامشخص</t>
        </is>
      </c>
      <c r="I16" s="2" t="inlineStr">
        <is>
          <t>فروش</t>
        </is>
      </c>
      <c r="J16" s="2" t="inlineStr">
        <is>
          <t>نامشخص</t>
        </is>
      </c>
      <c r="K16" s="2" t="inlineStr">
        <is>
          <t>X33 Cross AT</t>
        </is>
      </c>
      <c r="L16" s="2" t="inlineStr">
        <is>
          <t>نامشخص</t>
        </is>
      </c>
      <c r="M16" s="2" t="inlineStr">
        <is>
          <t>نامشخص</t>
        </is>
      </c>
      <c r="N16" s="2" t="inlineStr">
        <is>
          <t>آذر ۱۴۰۴</t>
        </is>
      </c>
      <c r="O16" s="2" t="inlineStr">
        <is>
          <t>EV-044: آذر ۱۴۰۴ و ۱۴۰۵</t>
        </is>
      </c>
      <c r="P16" s="2" t="inlineStr">
        <is>
          <t>سراسری</t>
        </is>
      </c>
      <c r="Q16" s="2" t="inlineStr">
        <is>
          <t>سامانه/نمایندگی</t>
        </is>
      </c>
      <c r="R16" s="2" t="inlineStr">
        <is>
          <t>نامشخص</t>
        </is>
      </c>
      <c r="S16" s="2" t="inlineStr">
        <is>
          <t>بخشنامه</t>
        </is>
      </c>
      <c r="T16" s="2" t="inlineStr">
        <is>
          <t>نقدی؛ تحویل ۹۰ روزه یا فوق‌العاده</t>
        </is>
      </c>
      <c r="U16" s="2" t="inlineStr">
        <is>
          <t>نامشخص</t>
        </is>
      </c>
      <c r="V16" s="2" t="inlineStr">
        <is>
          <t>EV-044</t>
        </is>
      </c>
      <c r="W16" s="4" t="inlineStr">
        <is>
          <t>https://digiato.com/label/mvm</t>
        </is>
      </c>
      <c r="X16" s="2" t="inlineStr">
        <is>
          <t>نامشخص</t>
        </is>
      </c>
      <c r="Y16" s="2" t="inlineStr">
        <is>
          <t>WebSearch — 2026-10-10</t>
        </is>
      </c>
      <c r="Z16" s="2" t="inlineStr">
        <is>
          <t>نیازمند تأیید</t>
        </is>
      </c>
      <c r="AA16" s="2" t="inlineStr">
        <is>
          <t>Low</t>
        </is>
      </c>
      <c r="AB16" s="2" t="inlineStr">
        <is>
          <t>صفحه برچسب، نه خبر مستقل</t>
        </is>
      </c>
      <c r="AC16" s="2" t="inlineStr">
        <is>
          <t>داده عمومی قابل اتکا پیدا نشد</t>
        </is>
      </c>
    </row>
    <row r="17">
      <c r="A17" s="2" t="inlineStr">
        <is>
          <t>CMP-017</t>
        </is>
      </c>
      <c r="B17" s="2" t="inlineStr">
        <is>
          <t>طرح فروش (فعالیت فروش؛ مرز با کمپین)</t>
        </is>
      </c>
      <c r="C17" s="2" t="inlineStr">
        <is>
          <t>3. فروش و جذب مشتری</t>
        </is>
      </c>
      <c r="D17" s="2" t="inlineStr">
        <is>
          <t>BR-007</t>
        </is>
      </c>
      <c r="E17" s="2" t="inlineStr">
        <is>
          <t>FOWNIX / Fownix NEV</t>
        </is>
      </c>
      <c r="F17" s="2" t="inlineStr">
        <is>
          <t>مدیران خودرو</t>
        </is>
      </c>
      <c r="G17" s="2" t="inlineStr">
        <is>
          <t>فروش فونیکس F7 Pro Max</t>
        </is>
      </c>
      <c r="H17" s="2" t="inlineStr">
        <is>
          <t>نامشخص</t>
        </is>
      </c>
      <c r="I17" s="2" t="inlineStr">
        <is>
          <t>فروش</t>
        </is>
      </c>
      <c r="J17" s="2" t="inlineStr">
        <is>
          <t>نامشخص</t>
        </is>
      </c>
      <c r="K17" s="2" t="inlineStr">
        <is>
          <t>F7 Pro Max</t>
        </is>
      </c>
      <c r="L17" s="3" t="n">
        <v>46011</v>
      </c>
      <c r="M17" s="2" t="inlineStr">
        <is>
          <t>نامشخص</t>
        </is>
      </c>
      <c r="N17" s="2" t="inlineStr">
        <is>
          <t>از ۲۹ آذر ۱۴۰۴</t>
        </is>
      </c>
      <c r="O17" s="2" t="inlineStr">
        <is>
          <t>EV-044: آذر ۱۴۰۴ و ۱۴۰۵</t>
        </is>
      </c>
      <c r="P17" s="2" t="inlineStr">
        <is>
          <t>سراسری</t>
        </is>
      </c>
      <c r="Q17" s="2" t="inlineStr">
        <is>
          <t>سامانه/نمایندگی</t>
        </is>
      </c>
      <c r="R17" s="2" t="inlineStr">
        <is>
          <t>نامشخص</t>
        </is>
      </c>
      <c r="S17" s="2" t="inlineStr">
        <is>
          <t>بخشنامه</t>
        </is>
      </c>
      <c r="T17" s="2" t="inlineStr">
        <is>
          <t>نقدی؛ تحویل ۹۰ روزه یا فوق‌العاده</t>
        </is>
      </c>
      <c r="U17" s="2" t="inlineStr">
        <is>
          <t>نامشخص</t>
        </is>
      </c>
      <c r="V17" s="2" t="inlineStr">
        <is>
          <t>EV-044</t>
        </is>
      </c>
      <c r="W17" s="4" t="inlineStr">
        <is>
          <t>https://digiato.com/label/mvm</t>
        </is>
      </c>
      <c r="X17" s="2" t="inlineStr">
        <is>
          <t>نامشخص</t>
        </is>
      </c>
      <c r="Y17" s="2" t="inlineStr">
        <is>
          <t>WebSearch — 2026-10-10</t>
        </is>
      </c>
      <c r="Z17" s="2" t="inlineStr">
        <is>
          <t>نیازمند تأیید</t>
        </is>
      </c>
      <c r="AA17" s="2" t="inlineStr">
        <is>
          <t>Low</t>
        </is>
      </c>
      <c r="AB17" s="2" t="inlineStr">
        <is>
          <t>صفحه برچسب</t>
        </is>
      </c>
      <c r="AC17" s="2" t="inlineStr">
        <is>
          <t>داده عمومی قابل اتکا پیدا نشد</t>
        </is>
      </c>
    </row>
    <row r="18">
      <c r="A18" s="2" t="inlineStr">
        <is>
          <t>CMP-018</t>
        </is>
      </c>
      <c r="B18" s="2" t="inlineStr">
        <is>
          <t>طرح فروش (فعالیت فروش؛ مرز با کمپین)</t>
        </is>
      </c>
      <c r="C18" s="2" t="inlineStr">
        <is>
          <t>3. فروش و جذب مشتری</t>
        </is>
      </c>
      <c r="D18" s="2" t="inlineStr">
        <is>
          <t>BR-006;BR-007;BR-008</t>
        </is>
      </c>
      <c r="E18" s="2" t="inlineStr">
        <is>
          <t>MVM؛ FOWNIX / Fownix NEV؛ XTRIM (EXEED)</t>
        </is>
      </c>
      <c r="F18" s="2" t="inlineStr">
        <is>
          <t>مدیران خودرو</t>
        </is>
      </c>
      <c r="G18" s="2" t="inlineStr">
        <is>
          <t>فروش نقدی MVM/فونیکس/اکستریم با تحویل ۳۰ روزه (مرداد ۱۴۰۵)</t>
        </is>
      </c>
      <c r="H18" s="2" t="inlineStr">
        <is>
          <t>«قیمت قطعی، تحویل ۳۰ روزه» (عبارت پوشش خبری)</t>
        </is>
      </c>
      <c r="I18" s="2" t="inlineStr">
        <is>
          <t>فروش</t>
        </is>
      </c>
      <c r="J18" s="2" t="inlineStr">
        <is>
          <t>عمومی و طرح سازمانی</t>
        </is>
      </c>
      <c r="K18" s="2" t="inlineStr">
        <is>
          <t>۵ محصول ام‌وی‌ام و فونیکس؛ F8 Pro Max IE؛ X55 Pro IE (سازمانی)</t>
        </is>
      </c>
      <c r="L18" s="2" t="inlineStr">
        <is>
          <t>نامشخص</t>
        </is>
      </c>
      <c r="M18" s="2" t="inlineStr">
        <is>
          <t>نامشخص</t>
        </is>
      </c>
      <c r="N18" s="2" t="inlineStr">
        <is>
          <t>مرداد ۱۴۰۵</t>
        </is>
      </c>
      <c r="O18" s="2" t="inlineStr">
        <is>
          <t>EV-040: مرداد ۱۴۰۵؛ EV-042: مرداد ۱۴۰۵</t>
        </is>
      </c>
      <c r="P18" s="2" t="inlineStr">
        <is>
          <t>سراسری</t>
        </is>
      </c>
      <c r="Q18" s="2" t="inlineStr">
        <is>
          <t>سامانه فروش</t>
        </is>
      </c>
      <c r="R18" s="2" t="inlineStr">
        <is>
          <t>نامشخص</t>
        </is>
      </c>
      <c r="S18" s="2" t="inlineStr">
        <is>
          <t>بخشنامه</t>
        </is>
      </c>
      <c r="T18" s="2" t="inlineStr">
        <is>
          <t>قیمت قطعی؛ تحویل ۳۰ روز کاری</t>
        </is>
      </c>
      <c r="U18" s="2" t="inlineStr">
        <is>
          <t>نامشخص</t>
        </is>
      </c>
      <c r="V18" s="2" t="inlineStr">
        <is>
          <t>EV-040;EV-042</t>
        </is>
      </c>
      <c r="W18" s="4" t="inlineStr">
        <is>
          <t>https://www.persiankhodro.com/news/150439/</t>
        </is>
      </c>
      <c r="X18" s="2" t="inlineStr">
        <is>
          <t>نامشخص</t>
        </is>
      </c>
      <c r="Y18" s="2" t="inlineStr">
        <is>
          <t>WebSearch — 2026-10-10</t>
        </is>
      </c>
      <c r="Z18" s="2" t="inlineStr">
        <is>
          <t>نیازمند تأیید</t>
        </is>
      </c>
      <c r="AA18" s="2" t="inlineStr">
        <is>
          <t>Medium</t>
        </is>
      </c>
      <c r="AB18" s="2" t="inlineStr">
        <is>
          <t>فعالیت فروش</t>
        </is>
      </c>
      <c r="AC18" s="2" t="inlineStr">
        <is>
          <t>داده عمومی قابل اتکا پیدا نشد</t>
        </is>
      </c>
    </row>
    <row r="19">
      <c r="A19" s="2" t="inlineStr">
        <is>
          <t>CMP-019</t>
        </is>
      </c>
      <c r="B19" s="2" t="inlineStr">
        <is>
          <t>طرح فروش (فعالیت فروش؛ مرز با کمپین)</t>
        </is>
      </c>
      <c r="C19" s="2" t="inlineStr">
        <is>
          <t>3. فروش و جذب مشتری</t>
        </is>
      </c>
      <c r="D19" s="2" t="inlineStr">
        <is>
          <t>BR-006;BR-007;BR-008</t>
        </is>
      </c>
      <c r="E19" s="2" t="inlineStr">
        <is>
          <t>MVM؛ FOWNIX / Fownix NEV؛ XTRIM (EXEED)</t>
        </is>
      </c>
      <c r="F19" s="2" t="inlineStr">
        <is>
          <t>مدیران خودرو</t>
        </is>
      </c>
      <c r="G19" s="2" t="inlineStr">
        <is>
          <t>فروش نقدی بدون قرعه‌کشی مدیران خودرو (شهریور ۱۴۰۵)</t>
        </is>
      </c>
      <c r="H19" s="2" t="inlineStr">
        <is>
          <t>«بدون قرعه‌کشی»</t>
        </is>
      </c>
      <c r="I19" s="2" t="inlineStr">
        <is>
          <t>فروش</t>
        </is>
      </c>
      <c r="J19" s="2" t="inlineStr">
        <is>
          <t>نامشخص</t>
        </is>
      </c>
      <c r="K19" s="2" t="inlineStr">
        <is>
          <t>محصولات مدل ۱۴۰۴</t>
        </is>
      </c>
      <c r="L19" s="3" t="n">
        <v>46285</v>
      </c>
      <c r="M19" s="2" t="inlineStr">
        <is>
          <t>نامشخص</t>
        </is>
      </c>
      <c r="N19" s="2" t="inlineStr">
        <is>
          <t>ثبت‌نام از ۲۹ شهریور ۱۴۰۵</t>
        </is>
      </c>
      <c r="O19" s="2" t="inlineStr">
        <is>
          <t>EV-041: شهریور ۱۴۰۵</t>
        </is>
      </c>
      <c r="P19" s="2" t="inlineStr">
        <is>
          <t>سراسری (اینترنتی)</t>
        </is>
      </c>
      <c r="Q19" s="2" t="inlineStr">
        <is>
          <t>سامانه فروش</t>
        </is>
      </c>
      <c r="R19" s="2" t="inlineStr">
        <is>
          <t>نامشخص</t>
        </is>
      </c>
      <c r="S19" s="2" t="inlineStr">
        <is>
          <t>بخشنامه</t>
        </is>
      </c>
      <c r="T19" s="2" t="inlineStr">
        <is>
          <t>قیمت قطعی؛ تحویل ۹۰ روز کاری</t>
        </is>
      </c>
      <c r="U19" s="2" t="inlineStr">
        <is>
          <t>نامشخص</t>
        </is>
      </c>
      <c r="V19" s="2" t="inlineStr">
        <is>
          <t>EV-041</t>
        </is>
      </c>
      <c r="W19" s="4" t="inlineStr">
        <is>
          <t>https://www.persiankhodro.com/news/150865/</t>
        </is>
      </c>
      <c r="X19" s="2" t="inlineStr">
        <is>
          <t>نامشخص</t>
        </is>
      </c>
      <c r="Y19" s="2" t="inlineStr">
        <is>
          <t>WebSearch — 2026-10-10</t>
        </is>
      </c>
      <c r="Z19" s="2" t="inlineStr">
        <is>
          <t>نیازمند تأیید</t>
        </is>
      </c>
      <c r="AA19" s="2" t="inlineStr">
        <is>
          <t>Low</t>
        </is>
      </c>
      <c r="AB19" s="2" t="inlineStr">
        <is>
          <t>فعالیت فروش</t>
        </is>
      </c>
      <c r="AC19" s="2" t="inlineStr">
        <is>
          <t>داده عمومی قابل اتکا پیدا نشد</t>
        </is>
      </c>
    </row>
    <row r="20">
      <c r="A20" s="2" t="inlineStr">
        <is>
          <t>CMP-020</t>
        </is>
      </c>
      <c r="B20" s="2" t="inlineStr">
        <is>
          <t>کمپین تبلیغاتی/ترویجی</t>
        </is>
      </c>
      <c r="C20" s="2" t="inlineStr">
        <is>
          <t>9. روابط عمومی و رسانه‌ای (رپورتاژ)</t>
        </is>
      </c>
      <c r="D20" s="2" t="inlineStr">
        <is>
          <t>BR-007</t>
        </is>
      </c>
      <c r="E20" s="2" t="inlineStr">
        <is>
          <t>FOWNIX / Fownix NEV</t>
        </is>
      </c>
      <c r="F20" s="2" t="inlineStr">
        <is>
          <t>مدیران خودرو</t>
        </is>
      </c>
      <c r="G20" s="2" t="inlineStr">
        <is>
          <t>رپورتاژ «فونیکس، ققنوسی بر فراز بازار خودروی ایران»</t>
        </is>
      </c>
      <c r="H20" s="2" t="inlineStr">
        <is>
          <t>فونیکس = ققنوس (روایت برند پریمیوم)</t>
        </is>
      </c>
      <c r="I20" s="2" t="inlineStr">
        <is>
          <t>جایگاه‌سازی برند پریمیوم</t>
        </is>
      </c>
      <c r="J20" s="2" t="inlineStr">
        <is>
          <t>خریداران بالقوه پریمیوم</t>
        </is>
      </c>
      <c r="K20" s="2" t="inlineStr">
        <is>
          <t>برند فونیکس</t>
        </is>
      </c>
      <c r="L20" s="2" t="inlineStr">
        <is>
          <t>نامشخص</t>
        </is>
      </c>
      <c r="M20" s="2" t="inlineStr">
        <is>
          <t>نامشخص</t>
        </is>
      </c>
      <c r="N20" s="2" t="inlineStr">
        <is>
          <t>حدود مهر/آبان ۱۴۰۴ (برآورد؛ نیازمند تأیید)</t>
        </is>
      </c>
      <c r="O20" s="2" t="inlineStr">
        <is>
          <t>EV-043: حدود مهر/آبان ۱۴۰۴ (برآورد از شناسه مطلب؛ نیازمند تأیید)</t>
        </is>
      </c>
      <c r="P20" s="2" t="inlineStr">
        <is>
          <t>آنلاین</t>
        </is>
      </c>
      <c r="Q20" s="2" t="inlineStr">
        <is>
          <t>رپورتاژ آگهی در رسانه تخصصی</t>
        </is>
      </c>
      <c r="R20" s="2" t="inlineStr">
        <is>
          <t>استعاره ققنوس برای نام برند</t>
        </is>
      </c>
      <c r="S20" s="2" t="inlineStr">
        <is>
          <t>رپورتاژ متنی</t>
        </is>
      </c>
      <c r="T20" s="2" t="inlineStr">
        <is>
          <t>نامشخص</t>
        </is>
      </c>
      <c r="U20" s="2" t="inlineStr">
        <is>
          <t>نامشخص</t>
        </is>
      </c>
      <c r="V20" s="2" t="inlineStr">
        <is>
          <t>EV-043</t>
        </is>
      </c>
      <c r="W20" s="4" t="inlineStr">
        <is>
          <t>https://www.pedal.ir/pr/741263-fownix-premium-brand-iran-cars/</t>
        </is>
      </c>
      <c r="X20" s="2" t="inlineStr">
        <is>
          <t>نامشخص</t>
        </is>
      </c>
      <c r="Y20" s="2" t="inlineStr">
        <is>
          <t>WebSearch — 2026-10-10</t>
        </is>
      </c>
      <c r="Z20" s="2" t="inlineStr">
        <is>
          <t>نیازمند تأیید</t>
        </is>
      </c>
      <c r="AA20" s="2" t="inlineStr">
        <is>
          <t>Low</t>
        </is>
      </c>
      <c r="AB20" s="2" t="inlineStr">
        <is>
          <t>تاریخ انتشار تأیید نشده؛ ممکن است پیش از ۱۸ مهر ۱۴۰۴ باشد</t>
        </is>
      </c>
      <c r="AC20" s="2" t="inlineStr">
        <is>
          <t>داده عمومی قابل اتکا پیدا نشد</t>
        </is>
      </c>
    </row>
    <row r="21">
      <c r="A21" s="2" t="inlineStr">
        <is>
          <t>CMP-021</t>
        </is>
      </c>
      <c r="B21" s="2" t="inlineStr">
        <is>
          <t>طرح فروش (فعالیت فروش؛ مرز با کمپین)</t>
        </is>
      </c>
      <c r="C21" s="2" t="inlineStr">
        <is>
          <t>5. فروش اقساطی/پیشنهاد ویژه</t>
        </is>
      </c>
      <c r="D21" s="2" t="inlineStr">
        <is>
          <t>BR-009;BR-010;BR-011</t>
        </is>
      </c>
      <c r="E21" s="2" t="inlineStr">
        <is>
          <t>KMC؛ JAC؛ Hyundai</t>
        </is>
      </c>
      <c r="F21" s="2" t="inlineStr">
        <is>
          <t>کرمان موتور</t>
        </is>
      </c>
      <c r="G21" s="2" t="inlineStr">
        <is>
          <t>فروش نقد و اقساط کرمان موتور (آبان-آذر ۱۴۰۴) شامل طرح اقساطی SR3</t>
        </is>
      </c>
      <c r="H21" s="2" t="inlineStr">
        <is>
          <t>نامشخص</t>
        </is>
      </c>
      <c r="I21" s="2" t="inlineStr">
        <is>
          <t>فروش</t>
        </is>
      </c>
      <c r="J21" s="2" t="inlineStr">
        <is>
          <t>نامشخص</t>
        </is>
      </c>
      <c r="K21" s="2" t="inlineStr">
        <is>
          <t>کی‌ام‌سی، جک، هیوندای؛ SR3</t>
        </is>
      </c>
      <c r="L21" s="3" t="n">
        <v>45966</v>
      </c>
      <c r="M21" s="3" t="n">
        <v>45982</v>
      </c>
      <c r="N21" s="2" t="inlineStr">
        <is>
          <t>طرح اقساطی SR3: ۱۴ تا ۳۰ آبان ۱۴۰۴</t>
        </is>
      </c>
      <c r="O21" s="2" t="inlineStr">
        <is>
          <t>EV-052: آذر ۱۴۰۴</t>
        </is>
      </c>
      <c r="P21" s="2" t="inlineStr">
        <is>
          <t>سراسری</t>
        </is>
      </c>
      <c r="Q21" s="2" t="inlineStr">
        <is>
          <t>سامانه/واسپاری</t>
        </is>
      </c>
      <c r="R21" s="2" t="inlineStr">
        <is>
          <t>نامشخص</t>
        </is>
      </c>
      <c r="S21" s="2" t="inlineStr">
        <is>
          <t>بخشنامه</t>
        </is>
      </c>
      <c r="T21" s="2" t="inlineStr">
        <is>
          <t>اقساطی</t>
        </is>
      </c>
      <c r="U21" s="2" t="inlineStr">
        <is>
          <t>نامشخص</t>
        </is>
      </c>
      <c r="V21" s="2" t="inlineStr">
        <is>
          <t>EV-052</t>
        </is>
      </c>
      <c r="W21" s="4" t="inlineStr">
        <is>
          <t>https://www.pedal.ir/news/552339-kermanmotor-kmc-ktl-jac-hyundai-sales/</t>
        </is>
      </c>
      <c r="X21" s="2" t="inlineStr">
        <is>
          <t>نامشخص</t>
        </is>
      </c>
      <c r="Y21" s="2" t="inlineStr">
        <is>
          <t>WebSearch — 2026-10-10</t>
        </is>
      </c>
      <c r="Z21" s="2" t="inlineStr">
        <is>
          <t>نیازمند تأیید</t>
        </is>
      </c>
      <c r="AA21" s="2" t="inlineStr">
        <is>
          <t>Low</t>
        </is>
      </c>
      <c r="AB21" s="2" t="inlineStr">
        <is>
          <t>بازه SR3 فقط در خلاصه جست‌وجو آمد</t>
        </is>
      </c>
      <c r="AC21" s="2" t="inlineStr">
        <is>
          <t>داده عمومی قابل اتکا پیدا نشد</t>
        </is>
      </c>
    </row>
    <row r="22">
      <c r="A22" s="2" t="inlineStr">
        <is>
          <t>CMP-022</t>
        </is>
      </c>
      <c r="B22" s="2" t="inlineStr">
        <is>
          <t>طرح فروش (فعالیت فروش؛ مرز با کمپین)</t>
        </is>
      </c>
      <c r="C22" s="2" t="inlineStr">
        <is>
          <t>4. پیش‌فروش (طرح پاییزی)</t>
        </is>
      </c>
      <c r="D22" s="2" t="inlineStr">
        <is>
          <t>BR-009;BR-010</t>
        </is>
      </c>
      <c r="E22" s="2" t="inlineStr">
        <is>
          <t>KMC؛ JAC</t>
        </is>
      </c>
      <c r="F22" s="2" t="inlineStr">
        <is>
          <t>کرمان موتور</t>
        </is>
      </c>
      <c r="G22" s="2" t="inlineStr">
        <is>
          <t>طرح پیش‌فروش پاییزی کرمان موتور با پنج محصول</t>
        </is>
      </c>
      <c r="H22" s="2" t="inlineStr">
        <is>
          <t>نامشخص</t>
        </is>
      </c>
      <c r="I22" s="2" t="inlineStr">
        <is>
          <t>جذب پیش‌پرداخت</t>
        </is>
      </c>
      <c r="J22" s="2" t="inlineStr">
        <is>
          <t>نامشخص</t>
        </is>
      </c>
      <c r="K22" s="2" t="inlineStr">
        <is>
          <t>KMC J7، X5، T9، Eagle، JAC Sr3</t>
        </is>
      </c>
      <c r="L22" s="3" t="n">
        <v>45983</v>
      </c>
      <c r="M22" s="3" t="n">
        <v>45997</v>
      </c>
      <c r="N22" s="2" t="inlineStr">
        <is>
          <t>۱ تا ۱۵ آذر ۱۴۰۴</t>
        </is>
      </c>
      <c r="O22" s="2" t="inlineStr">
        <is>
          <t>EV-050: آذر ۱۴۰۴؛ EV-051: آذر ۱۴۰۴</t>
        </is>
      </c>
      <c r="P22" s="2" t="inlineStr">
        <is>
          <t>سراسری (اینترنتی)</t>
        </is>
      </c>
      <c r="Q22" s="2" t="inlineStr">
        <is>
          <t>سامانه فروش</t>
        </is>
      </c>
      <c r="R22" s="2" t="inlineStr">
        <is>
          <t>نامشخص</t>
        </is>
      </c>
      <c r="S22" s="2" t="inlineStr">
        <is>
          <t>بخشنامه</t>
        </is>
      </c>
      <c r="T22" s="2" t="inlineStr">
        <is>
          <t>تحویل بهار ۱۴۰۵</t>
        </is>
      </c>
      <c r="U22" s="2" t="inlineStr">
        <is>
          <t>نامشخص</t>
        </is>
      </c>
      <c r="V22" s="2" t="inlineStr">
        <is>
          <t>EV-050;EV-051</t>
        </is>
      </c>
      <c r="W22" s="4" t="inlineStr">
        <is>
          <t>https://www.sedayebourse.ir/news/540724/</t>
        </is>
      </c>
      <c r="X22" s="2" t="inlineStr">
        <is>
          <t>نامشخص</t>
        </is>
      </c>
      <c r="Y22" s="2" t="inlineStr">
        <is>
          <t>WebSearch — 2026-10-10</t>
        </is>
      </c>
      <c r="Z22" s="2" t="inlineStr">
        <is>
          <t>تأییدشده (دو منبع)</t>
        </is>
      </c>
      <c r="AA22" s="2" t="inlineStr">
        <is>
          <t>Medium</t>
        </is>
      </c>
      <c r="AB22" s="2" t="inlineStr">
        <is>
          <t>شواهد خلاقه یافت نشد</t>
        </is>
      </c>
      <c r="AC22" s="2" t="inlineStr">
        <is>
          <t>داده عمومی قابل اتکا پیدا نشد</t>
        </is>
      </c>
    </row>
    <row r="23">
      <c r="A23" s="2" t="inlineStr">
        <is>
          <t>CMP-023</t>
        </is>
      </c>
      <c r="B23" s="2" t="inlineStr">
        <is>
          <t>طرح فروش (فعالیت فروش؛ مرز با کمپین)</t>
        </is>
      </c>
      <c r="C23" s="2" t="inlineStr">
        <is>
          <t>4. پیش‌فروش</t>
        </is>
      </c>
      <c r="D23" s="2" t="inlineStr">
        <is>
          <t>BR-009</t>
        </is>
      </c>
      <c r="E23" s="2" t="inlineStr">
        <is>
          <t>KMC</t>
        </is>
      </c>
      <c r="F23" s="2" t="inlineStr">
        <is>
          <t>کرمان موتور</t>
        </is>
      </c>
      <c r="G23" s="2" t="inlineStr">
        <is>
          <t>پیش‌فروش چهار محصول کرمان موتور (بهمن ۱۴۰۴)</t>
        </is>
      </c>
      <c r="H23" s="2" t="inlineStr">
        <is>
          <t>نامشخص</t>
        </is>
      </c>
      <c r="I23" s="2" t="inlineStr">
        <is>
          <t>جذب پیش‌پرداخت</t>
        </is>
      </c>
      <c r="J23" s="2" t="inlineStr">
        <is>
          <t>نامشخص</t>
        </is>
      </c>
      <c r="K23" s="2" t="inlineStr">
        <is>
          <t>X5، Eagle، T9، J7</t>
        </is>
      </c>
      <c r="L23" s="3" t="n">
        <v>46046</v>
      </c>
      <c r="M23" s="3" t="n">
        <v>46057</v>
      </c>
      <c r="N23" s="2" t="inlineStr">
        <is>
          <t>۴ تا ۱۵ بهمن ۱۴۰۴</t>
        </is>
      </c>
      <c r="O23" s="2" t="inlineStr">
        <is>
          <t>EV-054: مهر ۱۴۰۵</t>
        </is>
      </c>
      <c r="P23" s="2" t="inlineStr">
        <is>
          <t>سراسری</t>
        </is>
      </c>
      <c r="Q23" s="2" t="inlineStr">
        <is>
          <t>customer.kermanmotor.ir</t>
        </is>
      </c>
      <c r="R23" s="2" t="inlineStr">
        <is>
          <t>نامشخص</t>
        </is>
      </c>
      <c r="S23" s="2" t="inlineStr">
        <is>
          <t>بخشنامه</t>
        </is>
      </c>
      <c r="T23" s="2" t="inlineStr">
        <is>
          <t>تحویل بهار ۱۴۰۵</t>
        </is>
      </c>
      <c r="U23" s="2" t="inlineStr">
        <is>
          <t>نامشخص</t>
        </is>
      </c>
      <c r="V23" s="2" t="inlineStr">
        <is>
          <t>EV-054</t>
        </is>
      </c>
      <c r="W23" s="4" t="inlineStr">
        <is>
          <t>https://khodro45.com/mag/kermanmotor-presell/</t>
        </is>
      </c>
      <c r="X23" s="2" t="inlineStr">
        <is>
          <t>نامشخص</t>
        </is>
      </c>
      <c r="Y23" s="2" t="inlineStr">
        <is>
          <t>WebSearch — 2026-10-10</t>
        </is>
      </c>
      <c r="Z23" s="2" t="inlineStr">
        <is>
          <t>نیازمند تأیید</t>
        </is>
      </c>
      <c r="AA23" s="2" t="inlineStr">
        <is>
          <t>Low</t>
        </is>
      </c>
      <c r="AB23" s="2" t="inlineStr">
        <is>
          <t>یک منبع</t>
        </is>
      </c>
      <c r="AC23" s="2" t="inlineStr">
        <is>
          <t>داده عمومی قابل اتکا پیدا نشد</t>
        </is>
      </c>
    </row>
    <row r="24">
      <c r="A24" s="2" t="inlineStr">
        <is>
          <t>CMP-024</t>
        </is>
      </c>
      <c r="B24" s="2" t="inlineStr">
        <is>
          <t>کمپین تبلیغاتی/ترویجی</t>
        </is>
      </c>
      <c r="C24" s="2" t="inlineStr">
        <is>
          <t>9. روابط عمومی / اعلام محصول</t>
        </is>
      </c>
      <c r="D24" s="2" t="inlineStr">
        <is>
          <t>BR-011</t>
        </is>
      </c>
      <c r="E24" s="2" t="inlineStr">
        <is>
          <t>Hyundai</t>
        </is>
      </c>
      <c r="F24" s="2" t="inlineStr">
        <is>
          <t>کرمان موتور</t>
        </is>
      </c>
      <c r="G24" s="2" t="inlineStr">
        <is>
          <t>اعلام واردات هیوندای آزرا ۲۰۲۶</t>
        </is>
      </c>
      <c r="H24" s="2" t="inlineStr">
        <is>
          <t>نامشخص</t>
        </is>
      </c>
      <c r="I24" s="2" t="inlineStr">
        <is>
          <t>ایجاد انتظار و آگاهی</t>
        </is>
      </c>
      <c r="J24" s="2" t="inlineStr">
        <is>
          <t>خریداران سدان لوکس</t>
        </is>
      </c>
      <c r="K24" s="2" t="inlineStr">
        <is>
          <t>هیوندای آزرا ۲۰۲۶</t>
        </is>
      </c>
      <c r="L24" s="2" t="inlineStr">
        <is>
          <t>نامشخص</t>
        </is>
      </c>
      <c r="M24" s="2" t="inlineStr">
        <is>
          <t>نامشخص</t>
        </is>
      </c>
      <c r="N24" s="2" t="inlineStr">
        <is>
          <t>بهمن ۱۴۰۴</t>
        </is>
      </c>
      <c r="O24" s="2" t="inlineStr">
        <is>
          <t>EV-053: بهمن ۱۴۰۴</t>
        </is>
      </c>
      <c r="P24" s="2" t="inlineStr">
        <is>
          <t>نامشخص</t>
        </is>
      </c>
      <c r="Q24" s="2" t="inlineStr">
        <is>
          <t>اطلاعیه/رسانه</t>
        </is>
      </c>
      <c r="R24" s="2" t="inlineStr">
        <is>
          <t>نامشخص</t>
        </is>
      </c>
      <c r="S24" s="2" t="inlineStr">
        <is>
          <t>اطلاعیه</t>
        </is>
      </c>
      <c r="T24" s="2" t="inlineStr">
        <is>
          <t>نامشخص</t>
        </is>
      </c>
      <c r="U24" s="2" t="inlineStr">
        <is>
          <t>نامشخص</t>
        </is>
      </c>
      <c r="V24" s="2" t="inlineStr">
        <is>
          <t>EV-053</t>
        </is>
      </c>
      <c r="W24" s="4" t="inlineStr">
        <is>
          <t>https://digiato.com/car-news/kerman-motor-brings-hyundai-azera-2026-to-iran</t>
        </is>
      </c>
      <c r="X24" s="2" t="inlineStr">
        <is>
          <t>نامشخص</t>
        </is>
      </c>
      <c r="Y24" s="2" t="inlineStr">
        <is>
          <t>WebSearch — 2026-10-10</t>
        </is>
      </c>
      <c r="Z24" s="2" t="inlineStr">
        <is>
          <t>نیازمند تأیید</t>
        </is>
      </c>
      <c r="AA24" s="2" t="inlineStr">
        <is>
          <t>Low</t>
        </is>
      </c>
      <c r="AB24" s="2" t="inlineStr">
        <is>
          <t>اطلاعیه محصول؛ ممکن است کمپین محسوب نشود</t>
        </is>
      </c>
      <c r="AC24" s="2" t="inlineStr">
        <is>
          <t>داده عمومی قابل اتکا پیدا نشد</t>
        </is>
      </c>
    </row>
    <row r="25">
      <c r="A25" s="2" t="inlineStr">
        <is>
          <t>CMP-025</t>
        </is>
      </c>
      <c r="B25" s="2" t="inlineStr">
        <is>
          <t>طرح فروش (فعالیت فروش؛ مرز با کمپین)</t>
        </is>
      </c>
      <c r="C25" s="2" t="inlineStr">
        <is>
          <t>3. فروش و جذب مشتری</t>
        </is>
      </c>
      <c r="D25" s="2" t="inlineStr">
        <is>
          <t>BR-013</t>
        </is>
      </c>
      <c r="E25" s="2" t="inlineStr">
        <is>
          <t>Fidelity / Dignity / Respect (برندهای گروه بهمن)</t>
        </is>
      </c>
      <c r="F25" s="2" t="inlineStr">
        <is>
          <t>گروه بهمن</t>
        </is>
      </c>
      <c r="G25" s="2" t="inlineStr">
        <is>
          <t>ششمین مرحله فروش بهمن موتور (پاییز ۱۴۰۴)</t>
        </is>
      </c>
      <c r="H25" s="2" t="inlineStr">
        <is>
          <t>نامشخص</t>
        </is>
      </c>
      <c r="I25" s="2" t="inlineStr">
        <is>
          <t>فروش</t>
        </is>
      </c>
      <c r="J25" s="2" t="inlineStr">
        <is>
          <t>نامشخص</t>
        </is>
      </c>
      <c r="K25" s="2" t="inlineStr">
        <is>
          <t>فیدلیتی، دیگنیتی، ریسپکت</t>
        </is>
      </c>
      <c r="L25" s="2" t="inlineStr">
        <is>
          <t>نامشخص</t>
        </is>
      </c>
      <c r="M25" s="2" t="inlineStr">
        <is>
          <t>نامشخص</t>
        </is>
      </c>
      <c r="N25" s="2" t="inlineStr">
        <is>
          <t>پاییز ۱۴۰۴ (به‌روزرسانی تا ۶ دی)</t>
        </is>
      </c>
      <c r="O25" s="2" t="inlineStr">
        <is>
          <t>EV-060: پاییز ۱۴۰۴؛ EV-061: آبان-دی ۱۴۰۴</t>
        </is>
      </c>
      <c r="P25" s="2" t="inlineStr">
        <is>
          <t>سراسری</t>
        </is>
      </c>
      <c r="Q25" s="2" t="inlineStr">
        <is>
          <t>سامانه فروش</t>
        </is>
      </c>
      <c r="R25" s="2" t="inlineStr">
        <is>
          <t>نامشخص</t>
        </is>
      </c>
      <c r="S25" s="2" t="inlineStr">
        <is>
          <t>بخشنامه</t>
        </is>
      </c>
      <c r="T25" s="2" t="inlineStr">
        <is>
          <t>نامشخص</t>
        </is>
      </c>
      <c r="U25" s="2" t="inlineStr">
        <is>
          <t>نامشخص</t>
        </is>
      </c>
      <c r="V25" s="2" t="inlineStr">
        <is>
          <t>EV-060;EV-061</t>
        </is>
      </c>
      <c r="W25" s="4" t="inlineStr">
        <is>
          <t>https://www.khodrobank.com/reviews/40521/</t>
        </is>
      </c>
      <c r="X25" s="2" t="inlineStr">
        <is>
          <t>نامشخص</t>
        </is>
      </c>
      <c r="Y25" s="2" t="inlineStr">
        <is>
          <t>WebSearch — 2026-10-10</t>
        </is>
      </c>
      <c r="Z25" s="2" t="inlineStr">
        <is>
          <t>نیازمند تأیید</t>
        </is>
      </c>
      <c r="AA25" s="2" t="inlineStr">
        <is>
          <t>Low</t>
        </is>
      </c>
      <c r="AB25" s="2" t="inlineStr">
        <is>
          <t>فعالیت فروش</t>
        </is>
      </c>
      <c r="AC25" s="2" t="inlineStr">
        <is>
          <t>داده عمومی قابل اتکا پیدا نشد</t>
        </is>
      </c>
    </row>
    <row r="26">
      <c r="A26" s="2" t="inlineStr">
        <is>
          <t>CMP-026</t>
        </is>
      </c>
      <c r="B26" s="2" t="inlineStr">
        <is>
          <t>طرح فروش (فعالیت فروش؛ مرز با کمپین)</t>
        </is>
      </c>
      <c r="C26" s="2" t="inlineStr">
        <is>
          <t>3. فروش و جذب مشتری</t>
        </is>
      </c>
      <c r="D26" s="2" t="inlineStr">
        <is>
          <t>BR-015</t>
        </is>
      </c>
      <c r="E26" s="2" t="inlineStr">
        <is>
          <t>Haval / Shavaal</t>
        </is>
      </c>
      <c r="F26" s="2" t="inlineStr">
        <is>
          <t>گروه بهمن</t>
        </is>
      </c>
      <c r="G26" s="2" t="inlineStr">
        <is>
          <t>فروش فوری شوال ۶ (هاوال H6 مونتاژی)</t>
        </is>
      </c>
      <c r="H26" s="2" t="inlineStr">
        <is>
          <t>نامشخص</t>
        </is>
      </c>
      <c r="I26" s="2" t="inlineStr">
        <is>
          <t>فروش</t>
        </is>
      </c>
      <c r="J26" s="2" t="inlineStr">
        <is>
          <t>نامشخص</t>
        </is>
      </c>
      <c r="K26" s="2" t="inlineStr">
        <is>
          <t>شوال ۶</t>
        </is>
      </c>
      <c r="L26" s="2" t="inlineStr">
        <is>
          <t>نامشخص</t>
        </is>
      </c>
      <c r="M26" s="3" t="n">
        <v>46080</v>
      </c>
      <c r="N26" s="2" t="inlineStr">
        <is>
          <t>اسفند ۱۴۰۴ تا ۸ اسفند</t>
        </is>
      </c>
      <c r="O26" s="2" t="inlineStr">
        <is>
          <t>EV-063: اسفند ۱۴۰۴</t>
        </is>
      </c>
      <c r="P26" s="2" t="inlineStr">
        <is>
          <t>سراسری</t>
        </is>
      </c>
      <c r="Q26" s="2" t="inlineStr">
        <is>
          <t>سامانه فروش</t>
        </is>
      </c>
      <c r="R26" s="2" t="inlineStr">
        <is>
          <t>نامشخص</t>
        </is>
      </c>
      <c r="S26" s="2" t="inlineStr">
        <is>
          <t>بخشنامه</t>
        </is>
      </c>
      <c r="T26" s="2" t="inlineStr">
        <is>
          <t>۴.۶۵۱ میلیارد تومان؛ تحویل ۳۰ روزه</t>
        </is>
      </c>
      <c r="U26" s="2" t="inlineStr">
        <is>
          <t>نامشخص</t>
        </is>
      </c>
      <c r="V26" s="2" t="inlineStr">
        <is>
          <t>EV-063</t>
        </is>
      </c>
      <c r="W26" s="4" t="inlineStr">
        <is>
          <t>https://digiato.com/price-terms-of-sale-car/conditions-for-immediate-sale-of-cheval-6-announced-march-1404</t>
        </is>
      </c>
      <c r="X26" s="2" t="inlineStr">
        <is>
          <t>نامشخص</t>
        </is>
      </c>
      <c r="Y26" s="2" t="inlineStr">
        <is>
          <t>WebSearch — 2026-10-10</t>
        </is>
      </c>
      <c r="Z26" s="2" t="inlineStr">
        <is>
          <t>نیازمند تأیید</t>
        </is>
      </c>
      <c r="AA26" s="2" t="inlineStr">
        <is>
          <t>Low</t>
        </is>
      </c>
      <c r="AB26" s="2" t="inlineStr">
        <is>
          <t>فعالیت فروش</t>
        </is>
      </c>
      <c r="AC26" s="2" t="inlineStr">
        <is>
          <t>داده عمومی قابل اتکا پیدا نشد</t>
        </is>
      </c>
    </row>
    <row r="27">
      <c r="A27" s="2" t="inlineStr">
        <is>
          <t>CMP-027</t>
        </is>
      </c>
      <c r="B27" s="2" t="inlineStr">
        <is>
          <t>طرح فروش (فعالیت فروش؛ مرز با کمپین)</t>
        </is>
      </c>
      <c r="C27" s="2" t="inlineStr">
        <is>
          <t>3. فروش و جذب مشتری</t>
        </is>
      </c>
      <c r="D27" s="2" t="inlineStr">
        <is>
          <t>BR-013</t>
        </is>
      </c>
      <c r="E27" s="2" t="inlineStr">
        <is>
          <t>Fidelity / Dignity / Respect (برندهای گروه بهمن)</t>
        </is>
      </c>
      <c r="F27" s="2" t="inlineStr">
        <is>
          <t>گروه بهمن</t>
        </is>
      </c>
      <c r="G27" s="2" t="inlineStr">
        <is>
          <t>ثبت‌نام/فروش فوری بهمن موتور (شهریور ۱۴۰۵)</t>
        </is>
      </c>
      <c r="H27" s="2" t="inlineStr">
        <is>
          <t>نامشخص</t>
        </is>
      </c>
      <c r="I27" s="2" t="inlineStr">
        <is>
          <t>فروش</t>
        </is>
      </c>
      <c r="J27" s="2" t="inlineStr">
        <is>
          <t>شامل طرح جوانی جمعیت (طبق باما)</t>
        </is>
      </c>
      <c r="K27" s="2" t="inlineStr">
        <is>
          <t>فیدلیتی الیت، ریسپکت ۲، دیگنیتی پرایم/پرستیژ</t>
        </is>
      </c>
      <c r="L27" s="3" t="n">
        <v>46257</v>
      </c>
      <c r="M27" s="3" t="n">
        <v>46268</v>
      </c>
      <c r="N27" s="2" t="inlineStr">
        <is>
          <t>۱ تا ۱۲ شهریور ۱۴۰۵</t>
        </is>
      </c>
      <c r="O27" s="2" t="inlineStr">
        <is>
          <t>EV-062: شهریور ۱۴۰۵</t>
        </is>
      </c>
      <c r="P27" s="2" t="inlineStr">
        <is>
          <t>سراسری</t>
        </is>
      </c>
      <c r="Q27" s="2" t="inlineStr">
        <is>
          <t>سامانه فروش</t>
        </is>
      </c>
      <c r="R27" s="2" t="inlineStr">
        <is>
          <t>نامشخص</t>
        </is>
      </c>
      <c r="S27" s="2" t="inlineStr">
        <is>
          <t>بخشنامه</t>
        </is>
      </c>
      <c r="T27" s="2" t="inlineStr">
        <is>
          <t>نامشخص</t>
        </is>
      </c>
      <c r="U27" s="2" t="inlineStr">
        <is>
          <t>نامشخص</t>
        </is>
      </c>
      <c r="V27" s="2" t="inlineStr">
        <is>
          <t>EV-062</t>
        </is>
      </c>
      <c r="W27" s="4" t="inlineStr">
        <is>
          <t>https://itoll.com/news/bahman-registration/</t>
        </is>
      </c>
      <c r="X27" s="2" t="inlineStr">
        <is>
          <t>نامشخص</t>
        </is>
      </c>
      <c r="Y27" s="2" t="inlineStr">
        <is>
          <t>WebSearch — 2026-10-10</t>
        </is>
      </c>
      <c r="Z27" s="2" t="inlineStr">
        <is>
          <t>نیازمند تأیید</t>
        </is>
      </c>
      <c r="AA27" s="2" t="inlineStr">
        <is>
          <t>Low</t>
        </is>
      </c>
      <c r="AB27" s="2" t="inlineStr">
        <is>
          <t>فعالیت فروش</t>
        </is>
      </c>
      <c r="AC27" s="2" t="inlineStr">
        <is>
          <t>داده عمومی قابل اتکا پیدا نشد</t>
        </is>
      </c>
    </row>
    <row r="28">
      <c r="A28" s="2" t="inlineStr">
        <is>
          <t>CMP-028</t>
        </is>
      </c>
      <c r="B28" s="2" t="inlineStr">
        <is>
          <t>کمپین نمایشگاهی/رویدادی</t>
        </is>
      </c>
      <c r="C28" s="2" t="inlineStr">
        <is>
          <t>10. نمایشگاهی و رویدادی</t>
        </is>
      </c>
      <c r="D28" s="2" t="inlineStr">
        <is>
          <t>BR-013;BR-015</t>
        </is>
      </c>
      <c r="E28" s="2" t="inlineStr">
        <is>
          <t>Fidelity / Dignity / Respect (برندهای گروه بهمن)؛ Haval / Shavaal</t>
        </is>
      </c>
      <c r="F28" s="2" t="inlineStr">
        <is>
          <t>گروه بهمن</t>
        </is>
      </c>
      <c r="G28" s="2" t="inlineStr">
        <is>
          <t>حضور گروه بهمن در نمایشگاه تهران ۱۴۰۵ با ۵ رونمایی (اوتار ۰۷، اینووی، فورس F60، ون VM2 اکو و VIP)</t>
        </is>
      </c>
      <c r="H28" s="2" t="inlineStr">
        <is>
          <t>نامشخص</t>
        </is>
      </c>
      <c r="I28" s="2" t="inlineStr">
        <is>
          <t>رونمایی و نمایش سبد سواری، تجاری و موتورسیکلت</t>
        </is>
      </c>
      <c r="J28" s="2" t="inlineStr">
        <is>
          <t>بازدیدکنندگان</t>
        </is>
      </c>
      <c r="K28" s="2" t="inlineStr">
        <is>
          <t>اوتار ۰۷، اینووی، فورس F60، ون VM2؛ نمایش XB1، فیدلیتی پرستیژ، شوال ۶، مزدا ۳، هاوال H9، اوتار ۱۱؛ ۱۲ موتورسیکلت</t>
        </is>
      </c>
      <c r="L28" s="3" t="n">
        <v>46279</v>
      </c>
      <c r="M28" s="3" t="n">
        <v>46282</v>
      </c>
      <c r="N28" s="2" t="inlineStr">
        <is>
          <t>۲۳ تا ۲۶ شهریور ۱۴۰۵ (سالن A4)</t>
        </is>
      </c>
      <c r="O28" s="2" t="inlineStr">
        <is>
          <t>EV-004: شهریور ۱۴۰۵؛ EV-139: شهریور ۱۴۰۵؛ EV-140: شهریور ۱۴۰۵؛ EV-141: شهریور ۱۴۰۵</t>
        </is>
      </c>
      <c r="P28" s="2" t="inlineStr">
        <is>
          <t>تهران</t>
        </is>
      </c>
      <c r="Q28" s="2" t="inlineStr">
        <is>
          <t>نمایشگاه؛ رسانه</t>
        </is>
      </c>
      <c r="R28" s="2" t="inlineStr">
        <is>
          <t>نامشخص</t>
        </is>
      </c>
      <c r="S28" s="2" t="inlineStr">
        <is>
          <t>غرفه/رونمایی</t>
        </is>
      </c>
      <c r="T28" s="2" t="inlineStr">
        <is>
          <t>نامشخص</t>
        </is>
      </c>
      <c r="U28" s="2" t="inlineStr">
        <is>
          <t>نامشخص</t>
        </is>
      </c>
      <c r="V28" s="2" t="inlineStr">
        <is>
          <t>EV-004;EV-139;EV-140;EV-141</t>
        </is>
      </c>
      <c r="W28" s="4" t="inlineStr">
        <is>
          <t>https://www.eghtesadonline.com/fa/news/2157604/</t>
        </is>
      </c>
      <c r="X28" s="2" t="inlineStr">
        <is>
          <t>نامشخص</t>
        </is>
      </c>
      <c r="Y28" s="2" t="inlineStr">
        <is>
          <t>WebSearch — 2026-10-10</t>
        </is>
      </c>
      <c r="Z28" s="2" t="inlineStr">
        <is>
          <t>تأییدشده (چند منبع)</t>
        </is>
      </c>
      <c r="AA28" s="2" t="inlineStr">
        <is>
          <t>Medium</t>
        </is>
      </c>
      <c r="AB28" s="2" t="inlineStr">
        <is>
          <t>نام برند اوتار/اینووی در فهرست مادر جدا ثبت نشده</t>
        </is>
      </c>
      <c r="AC28" s="2" t="inlineStr">
        <is>
          <t>داده عمومی قابل اتکا پیدا نشد</t>
        </is>
      </c>
    </row>
    <row r="29">
      <c r="A29" s="2" t="inlineStr">
        <is>
          <t>CMP-029</t>
        </is>
      </c>
      <c r="B29" s="2" t="inlineStr">
        <is>
          <t>کمپین نمایشگاهی/رویدادی</t>
        </is>
      </c>
      <c r="C29" s="2" t="inlineStr">
        <is>
          <t>2+10. رونمایی در نمایشگاه</t>
        </is>
      </c>
      <c r="D29" s="2" t="inlineStr">
        <is>
          <t>BR-016;BR-017</t>
        </is>
      </c>
      <c r="E29" s="2" t="inlineStr">
        <is>
          <t>Renault؛ ERES (SERES) / AITO</t>
        </is>
      </c>
      <c r="F29" s="2" t="inlineStr">
        <is>
          <t>ماموت خودرو</t>
        </is>
      </c>
      <c r="G29" s="2" t="inlineStr">
        <is>
          <t>حضور یکپارچه ماموت خودرو در نمایشگاه تهران؛ رونمایی رنو گرند کولئوس نسل جدید و آیتو M6 + بخش تیونینگ</t>
        </is>
      </c>
      <c r="H29" s="2" t="inlineStr">
        <is>
          <t>نامشخص</t>
        </is>
      </c>
      <c r="I29" s="2" t="inlineStr">
        <is>
          <t>رونمایی و تقویت تصویر چندبرندی</t>
        </is>
      </c>
      <c r="J29" s="2" t="inlineStr">
        <is>
          <t>بازدیدکنندگان؛ علاقه‌مندان پرمیوم/برقی</t>
        </is>
      </c>
      <c r="K29" s="2" t="inlineStr">
        <is>
          <t>رنو گرند کولئوس، آیتو M6، محصولات ERES</t>
        </is>
      </c>
      <c r="L29" s="3" t="n">
        <v>46279</v>
      </c>
      <c r="M29" s="3" t="n">
        <v>46282</v>
      </c>
      <c r="N29" s="2" t="inlineStr">
        <is>
          <t>۲۳ تا ۲۶ شهریور ۱۴۰۵</t>
        </is>
      </c>
      <c r="O29" s="2" t="inlineStr">
        <is>
          <t>EV-080: شهریور ۱۴۰۵</t>
        </is>
      </c>
      <c r="P29" s="2" t="inlineStr">
        <is>
          <t>تهران</t>
        </is>
      </c>
      <c r="Q29" s="2" t="inlineStr">
        <is>
          <t>نمایشگاه؛ رسانه</t>
        </is>
      </c>
      <c r="R29" s="2" t="inlineStr">
        <is>
          <t>ساختار یکپارچه همه برندها و خدمات پریمیوم در یک فضا؛ بخش تیونینگ</t>
        </is>
      </c>
      <c r="S29" s="2" t="inlineStr">
        <is>
          <t>غرفه/رونمایی</t>
        </is>
      </c>
      <c r="T29" s="2" t="inlineStr">
        <is>
          <t>نامشخص</t>
        </is>
      </c>
      <c r="U29" s="2" t="inlineStr">
        <is>
          <t>نامشخص</t>
        </is>
      </c>
      <c r="V29" s="2" t="inlineStr">
        <is>
          <t>EV-080</t>
        </is>
      </c>
      <c r="W29" s="4" t="inlineStr">
        <is>
          <t>https://sanatemashin.com/fa/news/70030/</t>
        </is>
      </c>
      <c r="X29" s="2" t="inlineStr">
        <is>
          <t>نامشخص</t>
        </is>
      </c>
      <c r="Y29" s="2" t="inlineStr">
        <is>
          <t>WebSearch — 2026-10-10</t>
        </is>
      </c>
      <c r="Z29" s="2" t="inlineStr">
        <is>
          <t>تأییدشده (رویداد)</t>
        </is>
      </c>
      <c r="AA29" s="2" t="inlineStr">
        <is>
          <t>Medium</t>
        </is>
      </c>
      <c r="AB29" s="2" t="inlineStr">
        <is>
          <t>جزئیات خلاقه محدود</t>
        </is>
      </c>
      <c r="AC29" s="2" t="inlineStr">
        <is>
          <t>داده عمومی قابل اتکا پیدا نشد</t>
        </is>
      </c>
    </row>
    <row r="30">
      <c r="A30" s="2" t="inlineStr">
        <is>
          <t>CMP-030</t>
        </is>
      </c>
      <c r="B30" s="2" t="inlineStr">
        <is>
          <t>کمپین تبلیغاتی/ترویجی</t>
        </is>
      </c>
      <c r="C30" s="2" t="inlineStr">
        <is>
          <t>1. آگاهی از برند (روایت‌محور)</t>
        </is>
      </c>
      <c r="D30" s="2" t="inlineStr">
        <is>
          <t>BR-017</t>
        </is>
      </c>
      <c r="E30" s="2" t="inlineStr">
        <is>
          <t>ERES (SERES) / AITO</t>
        </is>
      </c>
      <c r="F30" s="2" t="inlineStr">
        <is>
          <t>ماموت خودرو</t>
        </is>
      </c>
      <c r="G30" s="2" t="inlineStr">
        <is>
          <t>کمپین برند ERES — فاز جدید ارتباطات خلاقانه</t>
        </is>
      </c>
      <c r="H30" s="2" t="inlineStr">
        <is>
          <t>تمرکز بر «تجربه و روایت» به‌جای فهرست مشخصات (نقل از مدیر بازاریابی)</t>
        </is>
      </c>
      <c r="I30" s="2" t="inlineStr">
        <is>
          <t>آگاهی/تمایز برند</t>
        </is>
      </c>
      <c r="J30" s="2" t="inlineStr">
        <is>
          <t>نامشخص</t>
        </is>
      </c>
      <c r="K30" s="2" t="inlineStr">
        <is>
          <t>ERES</t>
        </is>
      </c>
      <c r="L30" s="2" t="inlineStr">
        <is>
          <t>نامشخص</t>
        </is>
      </c>
      <c r="M30" s="2" t="inlineStr">
        <is>
          <t>نامشخص</t>
        </is>
      </c>
      <c r="N30" s="2" t="inlineStr">
        <is>
          <t>نامشخص</t>
        </is>
      </c>
      <c r="O30" s="2" t="inlineStr">
        <is>
          <t>EV-081: نامشخص</t>
        </is>
      </c>
      <c r="P30" s="2" t="inlineStr">
        <is>
          <t>نامشخص</t>
        </is>
      </c>
      <c r="Q30" s="2" t="inlineStr">
        <is>
          <t>نامشخص</t>
        </is>
      </c>
      <c r="R30" s="2" t="inlineStr">
        <is>
          <t>روایت‌محور، تجربه‌محور</t>
        </is>
      </c>
      <c r="S30" s="2" t="inlineStr">
        <is>
          <t>نامشخص</t>
        </is>
      </c>
      <c r="T30" s="2" t="inlineStr">
        <is>
          <t>نامشخص</t>
        </is>
      </c>
      <c r="U30" s="2" t="inlineStr">
        <is>
          <t>نامشخص</t>
        </is>
      </c>
      <c r="V30" s="2" t="inlineStr">
        <is>
          <t>EV-081</t>
        </is>
      </c>
      <c r="W30" s="4" t="inlineStr">
        <is>
          <t>http://www.asrekhodro.com/Home/News/263140</t>
        </is>
      </c>
      <c r="X30" s="2" t="inlineStr">
        <is>
          <t>نامشخص</t>
        </is>
      </c>
      <c r="Y30" s="2" t="inlineStr">
        <is>
          <t>WebSearch — 2026-10-10</t>
        </is>
      </c>
      <c r="Z30" s="2" t="inlineStr">
        <is>
          <t>نیازمند تأیید</t>
        </is>
      </c>
      <c r="AA30" s="2" t="inlineStr">
        <is>
          <t>Low</t>
        </is>
      </c>
      <c r="AB30" s="2" t="inlineStr">
        <is>
          <t>تاریخ کمپین نامشخص؛ ممکن است خارج از بازه باشد</t>
        </is>
      </c>
      <c r="AC30" s="2" t="inlineStr">
        <is>
          <t>داده عمومی قابل اتکا پیدا نشد</t>
        </is>
      </c>
    </row>
    <row r="31">
      <c r="A31" s="2" t="inlineStr">
        <is>
          <t>CMP-031</t>
        </is>
      </c>
      <c r="B31" s="2" t="inlineStr">
        <is>
          <t>کمپین نمایشگاهی/رویدادی</t>
        </is>
      </c>
      <c r="C31" s="2" t="inlineStr">
        <is>
          <t>2+10. رونمایی در نمایشگاه</t>
        </is>
      </c>
      <c r="D31" s="2" t="inlineStr">
        <is>
          <t>BR-018</t>
        </is>
      </c>
      <c r="E31" s="2" t="inlineStr">
        <is>
          <t>Lukano (مکث موتور)</t>
        </is>
      </c>
      <c r="F31" s="2" t="inlineStr">
        <is>
          <t>مکث موتور</t>
        </is>
      </c>
      <c r="G31" s="2" t="inlineStr">
        <is>
          <t>رونمایی نسخه‌های پلاگین‌هیبرید لوکانو L7 و L8 در نمایشگاه تهران</t>
        </is>
      </c>
      <c r="H31" s="2" t="inlineStr">
        <is>
          <t>نامشخص</t>
        </is>
      </c>
      <c r="I31" s="2" t="inlineStr">
        <is>
          <t>رونمایی</t>
        </is>
      </c>
      <c r="J31" s="2" t="inlineStr">
        <is>
          <t>بازدیدکنندگان</t>
        </is>
      </c>
      <c r="K31" s="2" t="inlineStr">
        <is>
          <t>لوکانو L7، L8</t>
        </is>
      </c>
      <c r="L31" s="3" t="n">
        <v>46279</v>
      </c>
      <c r="M31" s="3" t="n">
        <v>46282</v>
      </c>
      <c r="N31" s="2" t="inlineStr">
        <is>
          <t>۲۳ تا ۲۶ شهریور ۱۴۰۵</t>
        </is>
      </c>
      <c r="O31" s="2" t="inlineStr">
        <is>
          <t>EV-082: شهریور ۱۴۰۵</t>
        </is>
      </c>
      <c r="P31" s="2" t="inlineStr">
        <is>
          <t>تهران</t>
        </is>
      </c>
      <c r="Q31" s="2" t="inlineStr">
        <is>
          <t>نمایشگاه</t>
        </is>
      </c>
      <c r="R31" s="2" t="inlineStr">
        <is>
          <t>نامشخص</t>
        </is>
      </c>
      <c r="S31" s="2" t="inlineStr">
        <is>
          <t>غرفه</t>
        </is>
      </c>
      <c r="T31" s="2" t="inlineStr">
        <is>
          <t>نامشخص</t>
        </is>
      </c>
      <c r="U31" s="2" t="inlineStr">
        <is>
          <t>نامشخص</t>
        </is>
      </c>
      <c r="V31" s="2" t="inlineStr">
        <is>
          <t>EV-082</t>
        </is>
      </c>
      <c r="W31" s="4" t="inlineStr">
        <is>
          <t>https://sanatemashin.com/fa/news/70001/</t>
        </is>
      </c>
      <c r="X31" s="2" t="inlineStr">
        <is>
          <t>نامشخص</t>
        </is>
      </c>
      <c r="Y31" s="2" t="inlineStr">
        <is>
          <t>WebSearch — 2026-10-10</t>
        </is>
      </c>
      <c r="Z31" s="2" t="inlineStr">
        <is>
          <t>نیازمند تأیید</t>
        </is>
      </c>
      <c r="AA31" s="2" t="inlineStr">
        <is>
          <t>Low</t>
        </is>
      </c>
      <c r="AB31" s="2" t="inlineStr">
        <is>
          <t>یک منبع</t>
        </is>
      </c>
      <c r="AC31" s="2" t="inlineStr">
        <is>
          <t>داده عمومی قابل اتکا پیدا نشد</t>
        </is>
      </c>
    </row>
    <row r="32">
      <c r="A32" s="2" t="inlineStr">
        <is>
          <t>CMP-032</t>
        </is>
      </c>
      <c r="B32" s="2" t="inlineStr">
        <is>
          <t>کمپین تبلیغاتی/ترویجی</t>
        </is>
      </c>
      <c r="C32" s="2" t="inlineStr">
        <is>
          <t>2+7. رونمایی با چهره‌های سرشناس</t>
        </is>
      </c>
      <c r="D32" s="2" t="inlineStr">
        <is>
          <t>BR-021;BR-046</t>
        </is>
      </c>
      <c r="E32" s="2" t="inlineStr">
        <is>
          <t>Tisan (ری‌بج Jetour)؛ Jetour (برند اصلی)</t>
        </is>
      </c>
      <c r="F32" s="2" t="inlineStr">
        <is>
          <t>تیگارد موتور</t>
        </is>
      </c>
      <c r="G32" s="2" t="inlineStr">
        <is>
          <t>رونمایی تیسان T1، T2 و G700 در ایران‌مال با حضور چهره‌های سرشناس</t>
        </is>
      </c>
      <c r="H32" s="2" t="inlineStr">
        <is>
          <t>«مکعب‌های تیسان» (تعبیر رسانه‌ای از طراحی باکسی)</t>
        </is>
      </c>
      <c r="I32" s="2" t="inlineStr">
        <is>
          <t>معرفی برند جدید و ایجاد هیاهوی رسانه‌ای پیش از نمایشگاه</t>
        </is>
      </c>
      <c r="J32" s="2" t="inlineStr">
        <is>
          <t>خریداران شاسی‌بلند؛ رسانه‌ها؛ عموم</t>
        </is>
      </c>
      <c r="K32" s="2" t="inlineStr">
        <is>
          <t>تیسان T1/T01، T2، G700 (ری‌بج جتور)</t>
        </is>
      </c>
      <c r="L32" s="2" t="inlineStr">
        <is>
          <t>نامشخص</t>
        </is>
      </c>
      <c r="M32" s="2" t="inlineStr">
        <is>
          <t>نامشخص</t>
        </is>
      </c>
      <c r="N32" s="2" t="inlineStr">
        <is>
          <t>شهریور ۱۴۰۵؛ رونمایی رسمی T1 برای ۲۱ شهریور ۱۴۰۵ برنامه‌ریزی شده بود (پیش از نمایشگاه)</t>
        </is>
      </c>
      <c r="O32" s="2" t="inlineStr">
        <is>
          <t>EV-100: شهریور ۱۴۰۵؛ EV-101: شهریور ۱۴۰۵؛ EV-130: شهریور ۱۴۰۵؛ EV-131: شهریور ۱۴۰۵</t>
        </is>
      </c>
      <c r="P32" s="2" t="inlineStr">
        <is>
          <t>تهران (ایران‌مال)</t>
        </is>
      </c>
      <c r="Q32" s="2" t="inlineStr">
        <is>
          <t>رویداد رونمایی؛ چهره‌های مشهور؛ پوشش رسانه‌ای</t>
        </is>
      </c>
      <c r="R32" s="2" t="inlineStr">
        <is>
          <t>رونمایی در مرکز خرید با حضور سیدجواد هاشمی، مجید واشقانی و جواد داوری</t>
        </is>
      </c>
      <c r="S32" s="2" t="inlineStr">
        <is>
          <t>رویداد</t>
        </is>
      </c>
      <c r="T32" s="2" t="inlineStr">
        <is>
          <t>گارانتی شش‌ساله / ۲۰۰ هزار کیلومتر</t>
        </is>
      </c>
      <c r="U32" s="2" t="inlineStr">
        <is>
          <t>نامشخص</t>
        </is>
      </c>
      <c r="V32" s="2" t="inlineStr">
        <is>
          <t>EV-100;EV-101;EV-130;EV-131</t>
        </is>
      </c>
      <c r="W32" s="4" t="inlineStr">
        <is>
          <t>https://www.didarnews.ir/fa/news/205476/</t>
        </is>
      </c>
      <c r="X32" s="2" t="inlineStr">
        <is>
          <t>نامشخص</t>
        </is>
      </c>
      <c r="Y32" s="2" t="inlineStr">
        <is>
          <t>WebSearch — 2026-10-10</t>
        </is>
      </c>
      <c r="Z32" s="2" t="inlineStr">
        <is>
          <t>تأییدشده (چند منبع)</t>
        </is>
      </c>
      <c r="AA32" s="2" t="inlineStr">
        <is>
          <t>Medium</t>
        </is>
      </c>
      <c r="AB32" s="2" t="inlineStr">
        <is>
          <t>تاریخ دقیق برگزاری و مجری رویداد نامشخص؛ نام مدل (T1/T01) در منابع متفاوت؛ نوع قرارداد با چهره‌ها نامشخص</t>
        </is>
      </c>
      <c r="AC32" s="2" t="inlineStr">
        <is>
          <t>داده عمومی قابل اتکا پیدا نشد</t>
        </is>
      </c>
    </row>
    <row r="33">
      <c r="A33" s="2" t="inlineStr">
        <is>
          <t>CMP-033</t>
        </is>
      </c>
      <c r="B33" s="2" t="inlineStr">
        <is>
          <t>کمپین نمایشگاهی/رویدادی</t>
        </is>
      </c>
      <c r="C33" s="2" t="inlineStr">
        <is>
          <t>2+10. رونمایی در نمایشگاه</t>
        </is>
      </c>
      <c r="D33" s="2" t="inlineStr">
        <is>
          <t>BR-021</t>
        </is>
      </c>
      <c r="E33" s="2" t="inlineStr">
        <is>
          <t>Tisan (ری‌بج Jetour)</t>
        </is>
      </c>
      <c r="F33" s="2" t="inlineStr">
        <is>
          <t>تیگارد موتور</t>
        </is>
      </c>
      <c r="G33" s="2" t="inlineStr">
        <is>
          <t>رونمایی تیسان T01، T02 آفرود و G700 در نمایشگاه خودرو تهران</t>
        </is>
      </c>
      <c r="H33" s="2" t="inlineStr">
        <is>
          <t>نامشخص</t>
        </is>
      </c>
      <c r="I33" s="2" t="inlineStr">
        <is>
          <t>رونمایی</t>
        </is>
      </c>
      <c r="J33" s="2" t="inlineStr">
        <is>
          <t>نامشخص</t>
        </is>
      </c>
      <c r="K33" s="2" t="inlineStr">
        <is>
          <t>تیسان T01 (PHEV)، T02، G700</t>
        </is>
      </c>
      <c r="L33" s="3" t="n">
        <v>46279</v>
      </c>
      <c r="M33" s="3" t="n">
        <v>46282</v>
      </c>
      <c r="N33" s="2" t="inlineStr">
        <is>
          <t>۲۳ تا ۲۶ شهریور ۱۴۰۵</t>
        </is>
      </c>
      <c r="O33" s="2" t="inlineStr">
        <is>
          <t>EV-102: شهریور ۱۴۰۵؛ EV-132: شهریور ۱۴۰۵؛ EV-133: شهریور ۱۴۰۵</t>
        </is>
      </c>
      <c r="P33" s="2" t="inlineStr">
        <is>
          <t>تهران</t>
        </is>
      </c>
      <c r="Q33" s="2" t="inlineStr">
        <is>
          <t>نمایشگاه</t>
        </is>
      </c>
      <c r="R33" s="2" t="inlineStr">
        <is>
          <t>تأکید بر برد ترکیبی</t>
        </is>
      </c>
      <c r="S33" s="2" t="inlineStr">
        <is>
          <t>غرفه</t>
        </is>
      </c>
      <c r="T33" s="2" t="inlineStr">
        <is>
          <t>نامشخص</t>
        </is>
      </c>
      <c r="U33" s="2" t="inlineStr">
        <is>
          <t>نامشخص</t>
        </is>
      </c>
      <c r="V33" s="2" t="inlineStr">
        <is>
          <t>EV-102;EV-132;EV-133</t>
        </is>
      </c>
      <c r="W33" s="4" t="inlineStr">
        <is>
          <t>https://gadgetnews.net/1205296/tigard-tissan-t01-tehran-auto-show/</t>
        </is>
      </c>
      <c r="X33" s="2" t="inlineStr">
        <is>
          <t>نامشخص</t>
        </is>
      </c>
      <c r="Y33" s="2" t="inlineStr">
        <is>
          <t>WebSearch — 2026-10-10</t>
        </is>
      </c>
      <c r="Z33" s="2" t="inlineStr">
        <is>
          <t>تأییدشده (چند منبع)</t>
        </is>
      </c>
      <c r="AA33" s="2" t="inlineStr">
        <is>
          <t>Medium</t>
        </is>
      </c>
      <c r="AB33" s="2" t="inlineStr">
        <is>
          <t>ادامه کمپین CMP-032</t>
        </is>
      </c>
      <c r="AC33" s="2" t="inlineStr">
        <is>
          <t>داده عمومی قابل اتکا پیدا نشد</t>
        </is>
      </c>
    </row>
    <row r="34">
      <c r="A34" s="2" t="inlineStr">
        <is>
          <t>CMP-034</t>
        </is>
      </c>
      <c r="B34" s="2" t="inlineStr">
        <is>
          <t>کمپین تبلیغاتی/ترویجی</t>
        </is>
      </c>
      <c r="C34" s="2" t="inlineStr">
        <is>
          <t>2. معرفی/رونمایی محصول (رویداد مرکز خرید)</t>
        </is>
      </c>
      <c r="D34" s="2" t="inlineStr">
        <is>
          <t>BR-021</t>
        </is>
      </c>
      <c r="E34" s="2" t="inlineStr">
        <is>
          <t>Tisan (ری‌بج Jetour)</t>
        </is>
      </c>
      <c r="F34" s="2" t="inlineStr">
        <is>
          <t>تیگارد موتور</t>
        </is>
      </c>
      <c r="G34" s="2" t="inlineStr">
        <is>
          <t>رونمایی تیسان S05 در ایران‌مال و آغاز فروش</t>
        </is>
      </c>
      <c r="H34" s="2" t="inlineStr">
        <is>
          <t>نامشخص</t>
        </is>
      </c>
      <c r="I34" s="2" t="inlineStr">
        <is>
          <t>ورود برند تیسان به بازار</t>
        </is>
      </c>
      <c r="J34" s="2" t="inlineStr">
        <is>
          <t>خریداران کراس‌اوور اقتصادی (رقیب MVM X55 Pro)</t>
        </is>
      </c>
      <c r="K34" s="2" t="inlineStr">
        <is>
          <t>تیسان S05</t>
        </is>
      </c>
      <c r="L34" s="3" t="n">
        <v>46021</v>
      </c>
      <c r="M34" s="2" t="inlineStr">
        <is>
          <t>نامشخص</t>
        </is>
      </c>
      <c r="N34" s="2" t="inlineStr">
        <is>
          <t>۹ دی ۱۴۰۴ (طبق یک خلاصه)</t>
        </is>
      </c>
      <c r="O34" s="2" t="inlineStr">
        <is>
          <t>EV-106: دی ۱۴۰۴؛ EV-134: دی ۱۴۰۴؛ EV-135: دی ۱۴۰۴</t>
        </is>
      </c>
      <c r="P34" s="2" t="inlineStr">
        <is>
          <t>تهران (ایران‌مال)</t>
        </is>
      </c>
      <c r="Q34" s="2" t="inlineStr">
        <is>
          <t>رویداد رونمایی؛ رسانه؛ بخشنامه فروش</t>
        </is>
      </c>
      <c r="R34" s="2" t="inlineStr">
        <is>
          <t>رونمایی شبانه در مرکز خرید</t>
        </is>
      </c>
      <c r="S34" s="2" t="inlineStr">
        <is>
          <t>رویداد + بخشنامه</t>
        </is>
      </c>
      <c r="T34" s="2" t="inlineStr">
        <is>
          <t>عرضه حدود ۱.۹۵ میلیارد تومان (دی ۱۴۰۴)</t>
        </is>
      </c>
      <c r="U34" s="2" t="inlineStr">
        <is>
          <t>نامشخص</t>
        </is>
      </c>
      <c r="V34" s="2" t="inlineStr">
        <is>
          <t>EV-106;EV-134;EV-135</t>
        </is>
      </c>
      <c r="W34" s="4" t="inlineStr">
        <is>
          <t>https://digiato.com/price-terms-of-sale-car/first-sales-conditions-for-tisan-s05-published-january-1404</t>
        </is>
      </c>
      <c r="X34" s="2" t="inlineStr">
        <is>
          <t>نامشخص</t>
        </is>
      </c>
      <c r="Y34" s="2" t="inlineStr">
        <is>
          <t>WebSearch — 2026-10-10</t>
        </is>
      </c>
      <c r="Z34" s="2" t="inlineStr">
        <is>
          <t>تأییدشده (رویداد)؛ تاریخ نیازمند تأیید</t>
        </is>
      </c>
      <c r="AA34" s="2" t="inlineStr">
        <is>
          <t>Medium</t>
        </is>
      </c>
      <c r="AB34" s="2" t="inlineStr">
        <is>
          <t>منابع درباره خودروی پایه متناقض‌اند (جتور X50 در برابر سوئیست DX5)؛ تاریخ ۹ دی فقط در یک خلاصه</t>
        </is>
      </c>
      <c r="AC34" s="2" t="inlineStr">
        <is>
          <t>داده عمومی قابل اتکا پیدا نشد</t>
        </is>
      </c>
    </row>
    <row r="35">
      <c r="A35" s="2" t="inlineStr">
        <is>
          <t>CMP-035</t>
        </is>
      </c>
      <c r="B35" s="2" t="inlineStr">
        <is>
          <t>طرح فروش (فعالیت فروش؛ مرز با کمپین)</t>
        </is>
      </c>
      <c r="C35" s="2" t="inlineStr">
        <is>
          <t>3. فروش و جذب مشتری</t>
        </is>
      </c>
      <c r="D35" s="2" t="inlineStr">
        <is>
          <t>BR-022</t>
        </is>
      </c>
      <c r="E35" s="2" t="inlineStr">
        <is>
          <t>BYD</t>
        </is>
      </c>
      <c r="F35" s="2" t="inlineStr">
        <is>
          <t>تیگارد موتور</t>
        </is>
      </c>
      <c r="G35" s="2" t="inlineStr">
        <is>
          <t>طرح فروش BYD چین‌ال و سانگ پلاس با قیمت قطعی</t>
        </is>
      </c>
      <c r="H35" s="2" t="inlineStr">
        <is>
          <t>نامشخص</t>
        </is>
      </c>
      <c r="I35" s="2" t="inlineStr">
        <is>
          <t>فروش</t>
        </is>
      </c>
      <c r="J35" s="2" t="inlineStr">
        <is>
          <t>نامشخص</t>
        </is>
      </c>
      <c r="K35" s="2" t="inlineStr">
        <is>
          <t>BYD Qin L، Song Plus</t>
        </is>
      </c>
      <c r="L35" s="2" t="inlineStr">
        <is>
          <t>نامشخص</t>
        </is>
      </c>
      <c r="M35" s="2" t="inlineStr">
        <is>
          <t>نامشخص</t>
        </is>
      </c>
      <c r="N35" s="2" t="inlineStr">
        <is>
          <t>آبان ۱۴۰۴</t>
        </is>
      </c>
      <c r="O35" s="2" t="inlineStr">
        <is>
          <t>EV-103: آبان ۱۴۰۴</t>
        </is>
      </c>
      <c r="P35" s="2" t="inlineStr">
        <is>
          <t>سراسری</t>
        </is>
      </c>
      <c r="Q35" s="2" t="inlineStr">
        <is>
          <t>نمایندگی‌ها</t>
        </is>
      </c>
      <c r="R35" s="2" t="inlineStr">
        <is>
          <t>نامشخص</t>
        </is>
      </c>
      <c r="S35" s="2" t="inlineStr">
        <is>
          <t>بخشنامه</t>
        </is>
      </c>
      <c r="T35" s="2" t="inlineStr">
        <is>
          <t>قیمت قطعی</t>
        </is>
      </c>
      <c r="U35" s="2" t="inlineStr">
        <is>
          <t>نامشخص</t>
        </is>
      </c>
      <c r="V35" s="2" t="inlineStr">
        <is>
          <t>EV-103</t>
        </is>
      </c>
      <c r="W35" s="4" t="inlineStr">
        <is>
          <t>https://car.ir/news/31067-byd-tigardmotor-sales-aban-1404</t>
        </is>
      </c>
      <c r="X35" s="2" t="inlineStr">
        <is>
          <t>نامشخص</t>
        </is>
      </c>
      <c r="Y35" s="2" t="inlineStr">
        <is>
          <t>WebSearch — 2026-10-10</t>
        </is>
      </c>
      <c r="Z35" s="2" t="inlineStr">
        <is>
          <t>نیازمند تأیید</t>
        </is>
      </c>
      <c r="AA35" s="2" t="inlineStr">
        <is>
          <t>Low</t>
        </is>
      </c>
      <c r="AB35" s="2" t="inlineStr">
        <is>
          <t>فعالیت فروش</t>
        </is>
      </c>
      <c r="AC35" s="2" t="inlineStr">
        <is>
          <t>داده عمومی قابل اتکا پیدا نشد</t>
        </is>
      </c>
    </row>
    <row r="36">
      <c r="A36" s="2" t="inlineStr">
        <is>
          <t>CMP-036</t>
        </is>
      </c>
      <c r="B36" s="2" t="inlineStr">
        <is>
          <t>طرح فروش (فعالیت فروش؛ مرز با کمپین)</t>
        </is>
      </c>
      <c r="C36" s="2" t="inlineStr">
        <is>
          <t>3. فروش و جذب مشتری</t>
        </is>
      </c>
      <c r="D36" s="2" t="inlineStr">
        <is>
          <t>BR-020</t>
        </is>
      </c>
      <c r="E36" s="2" t="inlineStr">
        <is>
          <t>Changan</t>
        </is>
      </c>
      <c r="F36" s="2" t="inlineStr">
        <is>
          <t>آرین موتور / آرینا درایو</t>
        </is>
      </c>
      <c r="G36" s="2" t="inlineStr">
        <is>
          <t>فروش فوری چانگان یونی‌تی ۲۰۲۶ (خرداد تا شهریور ۱۴۰۵)</t>
        </is>
      </c>
      <c r="H36" s="2" t="inlineStr">
        <is>
          <t>«بدون قرعه‌کشی»</t>
        </is>
      </c>
      <c r="I36" s="2" t="inlineStr">
        <is>
          <t>فروش</t>
        </is>
      </c>
      <c r="J36" s="2" t="inlineStr">
        <is>
          <t>نامشخص</t>
        </is>
      </c>
      <c r="K36" s="2" t="inlineStr">
        <is>
          <t>UNI-T 2026</t>
        </is>
      </c>
      <c r="L36" s="3" t="n">
        <v>46280</v>
      </c>
      <c r="M36" s="2" t="inlineStr">
        <is>
          <t>نامشخص</t>
        </is>
      </c>
      <c r="N36" s="2" t="inlineStr">
        <is>
          <t>خرداد و تیر ۱۴۰۵ (کاهش قیمت) و از ۲۴ شهریور ۱۴۰۵</t>
        </is>
      </c>
      <c r="O36" s="2" t="inlineStr">
        <is>
          <t>EV-092: تیر ۱۴۰۵؛ EV-093: شهریور ۱۴۰۵</t>
        </is>
      </c>
      <c r="P36" s="2" t="inlineStr">
        <is>
          <t>سراسری</t>
        </is>
      </c>
      <c r="Q36" s="2" t="inlineStr">
        <is>
          <t>سامانه فروش</t>
        </is>
      </c>
      <c r="R36" s="2" t="inlineStr">
        <is>
          <t>نامشخص</t>
        </is>
      </c>
      <c r="S36" s="2" t="inlineStr">
        <is>
          <t>بخشنامه</t>
        </is>
      </c>
      <c r="T36" s="2" t="inlineStr">
        <is>
          <t>کاهش قیمت از ۶.۹۸ به ۶.۵۸ میلیارد تومان؛ تحویل ۳۰ روزه</t>
        </is>
      </c>
      <c r="U36" s="2" t="inlineStr">
        <is>
          <t>نامشخص</t>
        </is>
      </c>
      <c r="V36" s="2" t="inlineStr">
        <is>
          <t>EV-092;EV-093</t>
        </is>
      </c>
      <c r="W36" s="4" t="inlineStr">
        <is>
          <t>https://gadgetnews.net/1180384/sales-terms-for-changan-uni-t-at-a-fixed-price-tir-1405/</t>
        </is>
      </c>
      <c r="X36" s="2" t="inlineStr">
        <is>
          <t>نامشخص</t>
        </is>
      </c>
      <c r="Y36" s="2" t="inlineStr">
        <is>
          <t>WebSearch — 2026-10-10</t>
        </is>
      </c>
      <c r="Z36" s="2" t="inlineStr">
        <is>
          <t>نیازمند تأیید</t>
        </is>
      </c>
      <c r="AA36" s="2" t="inlineStr">
        <is>
          <t>Medium</t>
        </is>
      </c>
      <c r="AB36" s="2" t="inlineStr">
        <is>
          <t>فعالیت فروش؛ تاریخ شروع، آغاز دور شهریور است</t>
        </is>
      </c>
      <c r="AC36" s="2" t="inlineStr">
        <is>
          <t>داده عمومی قابل اتکا پیدا نشد</t>
        </is>
      </c>
    </row>
    <row r="37">
      <c r="A37" s="2" t="inlineStr">
        <is>
          <t>CMP-037</t>
        </is>
      </c>
      <c r="B37" s="2" t="inlineStr">
        <is>
          <t>کمپین تبلیغاتی/ترویجی</t>
        </is>
      </c>
      <c r="C37" s="2" t="inlineStr">
        <is>
          <t>11. خدمات پس از فروش و وفادارسازی</t>
        </is>
      </c>
      <c r="D37" s="2" t="inlineStr">
        <is>
          <t>BR-019</t>
        </is>
      </c>
      <c r="E37" s="2" t="inlineStr">
        <is>
          <t>Lamari</t>
        </is>
      </c>
      <c r="F37" s="2" t="inlineStr">
        <is>
          <t>آرین موتور</t>
        </is>
      </c>
      <c r="G37" s="2" t="inlineStr">
        <is>
          <t>«پاییز روی دور اطمینان» — طرح ویژه خدمات پس از فروش لاماری</t>
        </is>
      </c>
      <c r="H37" s="2" t="inlineStr">
        <is>
          <t>پاییز روی دور اطمینان</t>
        </is>
      </c>
      <c r="I37" s="2" t="inlineStr">
        <is>
          <t>وفادارسازی و فعال‌سازی شبکه خدمات</t>
        </is>
      </c>
      <c r="J37" s="2" t="inlineStr">
        <is>
          <t>مالکان لاماری</t>
        </is>
      </c>
      <c r="K37" s="2" t="inlineStr">
        <is>
          <t>لاماری ایما</t>
        </is>
      </c>
      <c r="L37" s="3" t="n">
        <v>46298</v>
      </c>
      <c r="M37" s="3" t="n">
        <v>46317</v>
      </c>
      <c r="N37" s="2" t="inlineStr">
        <is>
          <t>۱۱ تا ۳۰ مهر ۱۴۰۵</t>
        </is>
      </c>
      <c r="O37" s="2" t="inlineStr">
        <is>
          <t>EV-090: مهر ۱۴۰۵</t>
        </is>
      </c>
      <c r="P37" s="2" t="inlineStr">
        <is>
          <t>سراسری (نمایندگی‌ها)</t>
        </is>
      </c>
      <c r="Q37" s="2" t="inlineStr">
        <is>
          <t>نمایندگی؛ رسانه</t>
        </is>
      </c>
      <c r="R37" s="2" t="inlineStr">
        <is>
          <t>بازی کلامی «دور اطمینان»</t>
        </is>
      </c>
      <c r="S37" s="2" t="inlineStr">
        <is>
          <t>طرح فصلی خدمات</t>
        </is>
      </c>
      <c r="T37" s="2" t="inlineStr">
        <is>
          <t>نامشخص</t>
        </is>
      </c>
      <c r="U37" s="2" t="inlineStr">
        <is>
          <t>نامشخص</t>
        </is>
      </c>
      <c r="V37" s="2" t="inlineStr">
        <is>
          <t>EV-090</t>
        </is>
      </c>
      <c r="W37" s="4" t="inlineStr">
        <is>
          <t>https://carna.ir/fa/news/26290/</t>
        </is>
      </c>
      <c r="X37" s="2" t="inlineStr">
        <is>
          <t>نامشخص</t>
        </is>
      </c>
      <c r="Y37" s="2" t="inlineStr">
        <is>
          <t>WebSearch — 2026-10-10</t>
        </is>
      </c>
      <c r="Z37" s="2" t="inlineStr">
        <is>
          <t>نیازمند تأیید</t>
        </is>
      </c>
      <c r="AA37" s="2" t="inlineStr">
        <is>
          <t>Low</t>
        </is>
      </c>
      <c r="AB37" s="2" t="inlineStr">
        <is>
          <t>یک منبع؛ بخشی از بازه بعد از پایان دوره تحقیق است</t>
        </is>
      </c>
      <c r="AC37" s="2" t="inlineStr">
        <is>
          <t>داده عمومی قابل اتکا پیدا نشد</t>
        </is>
      </c>
    </row>
    <row r="38">
      <c r="A38" s="2" t="inlineStr">
        <is>
          <t>CMP-038</t>
        </is>
      </c>
      <c r="B38" s="2" t="inlineStr">
        <is>
          <t>کمپین نمایشگاهی/رویدادی</t>
        </is>
      </c>
      <c r="C38" s="2" t="inlineStr">
        <is>
          <t>2+10. رونمایی در نمایشگاه</t>
        </is>
      </c>
      <c r="D38" s="2" t="inlineStr">
        <is>
          <t>BR-026</t>
        </is>
      </c>
      <c r="E38" s="2" t="inlineStr">
        <is>
          <t>Nissan</t>
        </is>
      </c>
      <c r="F38" s="2" t="inlineStr">
        <is>
          <t>نامی خودرو</t>
        </is>
      </c>
      <c r="G38" s="2" t="inlineStr">
        <is>
          <t>رونمایی نیسان قشقایی ۲۰۲۶ (سفارش اروپا) در نمایشگاه تهران</t>
        </is>
      </c>
      <c r="H38" s="2" t="inlineStr">
        <is>
          <t>نامشخص</t>
        </is>
      </c>
      <c r="I38" s="2" t="inlineStr">
        <is>
          <t>رونمایی</t>
        </is>
      </c>
      <c r="J38" s="2" t="inlineStr">
        <is>
          <t>خریداران کراس‌اوور وارداتی</t>
        </is>
      </c>
      <c r="K38" s="2" t="inlineStr">
        <is>
          <t>نیسان قشقایی (۱.۳ توربو هیبرید خفیف)</t>
        </is>
      </c>
      <c r="L38" s="3" t="n">
        <v>46279</v>
      </c>
      <c r="M38" s="3" t="n">
        <v>46282</v>
      </c>
      <c r="N38" s="2" t="inlineStr">
        <is>
          <t>۲۳ تا ۲۶ شهریور ۱۴۰۵</t>
        </is>
      </c>
      <c r="O38" s="2" t="inlineStr">
        <is>
          <t>EV-083: شهریور ۱۴۰۵</t>
        </is>
      </c>
      <c r="P38" s="2" t="inlineStr">
        <is>
          <t>تهران</t>
        </is>
      </c>
      <c r="Q38" s="2" t="inlineStr">
        <is>
          <t>نمایشگاه؛ رسانه</t>
        </is>
      </c>
      <c r="R38" s="2" t="inlineStr">
        <is>
          <t>تأکید بر «سفارش اروپا / ساخت انگلستان»</t>
        </is>
      </c>
      <c r="S38" s="2" t="inlineStr">
        <is>
          <t>غرفه/رونمایی</t>
        </is>
      </c>
      <c r="T38" s="2" t="inlineStr">
        <is>
          <t>نامشخص</t>
        </is>
      </c>
      <c r="U38" s="2" t="inlineStr">
        <is>
          <t>نامشخص</t>
        </is>
      </c>
      <c r="V38" s="2" t="inlineStr">
        <is>
          <t>EV-083</t>
        </is>
      </c>
      <c r="W38" s="4" t="inlineStr">
        <is>
          <t>https://www.persiankhodro.com/news/150851/</t>
        </is>
      </c>
      <c r="X38" s="2" t="inlineStr">
        <is>
          <t>نامشخص</t>
        </is>
      </c>
      <c r="Y38" s="2" t="inlineStr">
        <is>
          <t>WebSearch — 2026-10-10</t>
        </is>
      </c>
      <c r="Z38" s="2" t="inlineStr">
        <is>
          <t>تأییدشده (چند گزارش در نتایج)</t>
        </is>
      </c>
      <c r="AA38" s="2" t="inlineStr">
        <is>
          <t>Medium</t>
        </is>
      </c>
      <c r="AB38" s="2" t="inlineStr">
        <is>
          <t>مشخصات فنی در گزارش‌ها متناقض</t>
        </is>
      </c>
      <c r="AC38" s="2" t="inlineStr">
        <is>
          <t>داده عمومی قابل اتکا پیدا نشد</t>
        </is>
      </c>
    </row>
    <row r="39">
      <c r="A39" s="2" t="inlineStr">
        <is>
          <t>CMP-039</t>
        </is>
      </c>
      <c r="B39" s="2" t="inlineStr">
        <is>
          <t>کمپین نمایشگاهی/رویدادی</t>
        </is>
      </c>
      <c r="C39" s="2" t="inlineStr">
        <is>
          <t>2+10. رونمایی در نمایشگاه</t>
        </is>
      </c>
      <c r="D39" s="2" t="inlineStr">
        <is>
          <t>BR-027</t>
        </is>
      </c>
      <c r="E39" s="2" t="inlineStr">
        <is>
          <t>Opel</t>
        </is>
      </c>
      <c r="F39" s="2" t="inlineStr">
        <is>
          <t>سیکاس خودرو</t>
        </is>
      </c>
      <c r="G39" s="2" t="inlineStr">
        <is>
          <t>رونمایی اوپل گرندلند هیبرید (نسل دوم) و نمایش موکا (بنزینی/برقی) و کورسا</t>
        </is>
      </c>
      <c r="H39" s="2" t="inlineStr">
        <is>
          <t>نامشخص</t>
        </is>
      </c>
      <c r="I39" s="2" t="inlineStr">
        <is>
          <t>ورود به بازار واردات</t>
        </is>
      </c>
      <c r="J39" s="2" t="inlineStr">
        <is>
          <t>نامشخص</t>
        </is>
      </c>
      <c r="K39" s="2" t="inlineStr">
        <is>
          <t>گرندلند هیبرید، موکا، کورسا</t>
        </is>
      </c>
      <c r="L39" s="3" t="n">
        <v>46279</v>
      </c>
      <c r="M39" s="3" t="n">
        <v>46282</v>
      </c>
      <c r="N39" s="2" t="inlineStr">
        <is>
          <t>۲۳ تا ۲۶ شهریور ۱۴۰۵</t>
        </is>
      </c>
      <c r="O39" s="2" t="inlineStr">
        <is>
          <t>EV-084: شهریور ۱۴۰۵؛ EV-143: شهریور ۱۴۰۵؛ EV-144: شهریور ۱۴۰۵؛ EV-145: شهریور ۱۴۰۵</t>
        </is>
      </c>
      <c r="P39" s="2" t="inlineStr">
        <is>
          <t>تهران</t>
        </is>
      </c>
      <c r="Q39" s="2" t="inlineStr">
        <is>
          <t>نمایشگاه</t>
        </is>
      </c>
      <c r="R39" s="2" t="inlineStr">
        <is>
          <t>تأکید بر واردات مستقیم از آلمان</t>
        </is>
      </c>
      <c r="S39" s="2" t="inlineStr">
        <is>
          <t>غرفه</t>
        </is>
      </c>
      <c r="T39" s="2" t="inlineStr">
        <is>
          <t>نامشخص</t>
        </is>
      </c>
      <c r="U39" s="2" t="inlineStr">
        <is>
          <t>نامشخص</t>
        </is>
      </c>
      <c r="V39" s="2" t="inlineStr">
        <is>
          <t>EV-084;EV-143;EV-144;EV-145</t>
        </is>
      </c>
      <c r="W39" s="4" t="inlineStr">
        <is>
          <t>https://gadgetnews.net/1205236/opel-mokka-tehran-show/</t>
        </is>
      </c>
      <c r="X39" s="2" t="inlineStr">
        <is>
          <t>نامشخص</t>
        </is>
      </c>
      <c r="Y39" s="2" t="inlineStr">
        <is>
          <t>WebSearch — 2026-10-10</t>
        </is>
      </c>
      <c r="Z39" s="2" t="inlineStr">
        <is>
          <t>تأییدشده (رویداد)</t>
        </is>
      </c>
      <c r="AA39" s="2" t="inlineStr">
        <is>
          <t>Medium</t>
        </is>
      </c>
      <c r="AB39" s="2" t="inlineStr">
        <is>
          <t>شرایط فروش گرندلند در ۱۴۰۵ یافت نشد</t>
        </is>
      </c>
      <c r="AC39" s="2" t="inlineStr">
        <is>
          <t>داده عمومی قابل اتکا پیدا نشد</t>
        </is>
      </c>
    </row>
    <row r="40">
      <c r="A40" s="2" t="inlineStr">
        <is>
          <t>CMP-040</t>
        </is>
      </c>
      <c r="B40" s="2" t="inlineStr">
        <is>
          <t>کمپین نمایشگاهی/رویدادی</t>
        </is>
      </c>
      <c r="C40" s="2" t="inlineStr">
        <is>
          <t>2+10. رونمایی در نمایشگاه</t>
        </is>
      </c>
      <c r="D40" s="2" t="inlineStr">
        <is>
          <t>BR-028;BR-029</t>
        </is>
      </c>
      <c r="E40" s="2" t="inlineStr">
        <is>
          <t>Mazda؛ Volvo</t>
        </is>
      </c>
      <c r="F40" s="2" t="inlineStr">
        <is>
          <t>آفتاب خودرو</t>
        </is>
      </c>
      <c r="G40" s="2" t="inlineStr">
        <is>
          <t>رونمایی مزدا CX-90 و نمایش ولوو در غرفه آفتاب خودرو</t>
        </is>
      </c>
      <c r="H40" s="2" t="inlineStr">
        <is>
          <t>نامشخص</t>
        </is>
      </c>
      <c r="I40" s="2" t="inlineStr">
        <is>
          <t>رونمایی و تقویت تصویر پرمیوم</t>
        </is>
      </c>
      <c r="J40" s="2" t="inlineStr">
        <is>
          <t>خریداران پرمیوم</t>
        </is>
      </c>
      <c r="K40" s="2" t="inlineStr">
        <is>
          <t>مزدا CX-90، EZ-6، EZ-60؛ ولوو XC90، EX30 CC و…</t>
        </is>
      </c>
      <c r="L40" s="3" t="n">
        <v>46279</v>
      </c>
      <c r="M40" s="3" t="n">
        <v>46282</v>
      </c>
      <c r="N40" s="2" t="inlineStr">
        <is>
          <t>۲۳ تا ۲۶ شهریور ۱۴۰۵</t>
        </is>
      </c>
      <c r="O40" s="2" t="inlineStr">
        <is>
          <t>EV-085: شهریور ۱۴۰۵؛ EV-142: ۲۳ شهریور ۱۴۰۵</t>
        </is>
      </c>
      <c r="P40" s="2" t="inlineStr">
        <is>
          <t>تهران</t>
        </is>
      </c>
      <c r="Q40" s="2" t="inlineStr">
        <is>
          <t>نمایشگاه؛ رسانه</t>
        </is>
      </c>
      <c r="R40" s="2" t="inlineStr">
        <is>
          <t>CX-90 در مرکز غرفه</t>
        </is>
      </c>
      <c r="S40" s="2" t="inlineStr">
        <is>
          <t>غرفه/رونمایی</t>
        </is>
      </c>
      <c r="T40" s="2" t="inlineStr">
        <is>
          <t>نامشخص</t>
        </is>
      </c>
      <c r="U40" s="2" t="inlineStr">
        <is>
          <t>نامشخص</t>
        </is>
      </c>
      <c r="V40" s="2" t="inlineStr">
        <is>
          <t>EV-085;EV-142</t>
        </is>
      </c>
      <c r="W40" s="4" t="inlineStr">
        <is>
          <t>https://digiato.com/car-news/look-at-mazda-cx-90-and-other-products-at-aftab-khodro-stand</t>
        </is>
      </c>
      <c r="X40" s="2" t="inlineStr">
        <is>
          <t>نامشخص</t>
        </is>
      </c>
      <c r="Y40" s="2" t="inlineStr">
        <is>
          <t>WebSearch — 2026-10-10</t>
        </is>
      </c>
      <c r="Z40" s="2" t="inlineStr">
        <is>
          <t>تأییدشده (چند منبع)</t>
        </is>
      </c>
      <c r="AA40" s="2" t="inlineStr">
        <is>
          <t>Medium</t>
        </is>
      </c>
      <c r="AB40" s="2" t="inlineStr">
        <is>
          <t>شرایط فروش CX-90 در ۱۴۰۵ یافت نشد</t>
        </is>
      </c>
      <c r="AC40" s="2" t="inlineStr">
        <is>
          <t>داده عمومی قابل اتکا پیدا نشد</t>
        </is>
      </c>
    </row>
    <row r="41">
      <c r="A41" s="2" t="inlineStr">
        <is>
          <t>CMP-041</t>
        </is>
      </c>
      <c r="B41" s="2" t="inlineStr">
        <is>
          <t>کمپین نمایشگاهی/رویدادی</t>
        </is>
      </c>
      <c r="C41" s="2" t="inlineStr">
        <is>
          <t>10. نمایشگاهی و رویدادی</t>
        </is>
      </c>
      <c r="D41" s="2" t="inlineStr">
        <is>
          <t>BR-028;BR-030</t>
        </is>
      </c>
      <c r="E41" s="2" t="inlineStr">
        <is>
          <t>Mazda؛ Audi</t>
        </is>
      </c>
      <c r="F41" s="2" t="inlineStr">
        <is>
          <t>معین خودرو</t>
        </is>
      </c>
      <c r="G41" s="2" t="inlineStr">
        <is>
          <t>نمایش چهار خودروی برقی و هیبریدی معین خودرو</t>
        </is>
      </c>
      <c r="H41" s="2" t="inlineStr">
        <is>
          <t>نامشخص</t>
        </is>
      </c>
      <c r="I41" s="2" t="inlineStr">
        <is>
          <t>معرفی سبد برقی</t>
        </is>
      </c>
      <c r="J41" s="2" t="inlineStr">
        <is>
          <t>نامشخص</t>
        </is>
      </c>
      <c r="K41" s="2" t="inlineStr">
        <is>
          <t>مزدا EZ-6، EZ-60؛ آئودی Q4 e-tron، Q5 e-tron</t>
        </is>
      </c>
      <c r="L41" s="3" t="n">
        <v>46279</v>
      </c>
      <c r="M41" s="3" t="n">
        <v>46282</v>
      </c>
      <c r="N41" s="2" t="inlineStr">
        <is>
          <t>۲۳ تا ۲۶ شهریور ۱۴۰۵</t>
        </is>
      </c>
      <c r="O41" s="2" t="inlineStr">
        <is>
          <t>EV-086: شهریور ۱۴۰۵</t>
        </is>
      </c>
      <c r="P41" s="2" t="inlineStr">
        <is>
          <t>تهران</t>
        </is>
      </c>
      <c r="Q41" s="2" t="inlineStr">
        <is>
          <t>نمایشگاه</t>
        </is>
      </c>
      <c r="R41" s="2" t="inlineStr">
        <is>
          <t>نامشخص</t>
        </is>
      </c>
      <c r="S41" s="2" t="inlineStr">
        <is>
          <t>غرفه</t>
        </is>
      </c>
      <c r="T41" s="2" t="inlineStr">
        <is>
          <t>نامشخص</t>
        </is>
      </c>
      <c r="U41" s="2" t="inlineStr">
        <is>
          <t>نامشخص</t>
        </is>
      </c>
      <c r="V41" s="2" t="inlineStr">
        <is>
          <t>EV-086</t>
        </is>
      </c>
      <c r="W41" s="4" t="inlineStr">
        <is>
          <t>https://www.pedal.ir/news/746793-moinkhodro-tehran-auto-show/</t>
        </is>
      </c>
      <c r="X41" s="2" t="inlineStr">
        <is>
          <t>نامشخص</t>
        </is>
      </c>
      <c r="Y41" s="2" t="inlineStr">
        <is>
          <t>WebSearch — 2026-10-10</t>
        </is>
      </c>
      <c r="Z41" s="2" t="inlineStr">
        <is>
          <t>تأییدشده (رویداد)</t>
        </is>
      </c>
      <c r="AA41" s="2" t="inlineStr">
        <is>
          <t>Medium</t>
        </is>
      </c>
      <c r="AB41" s="2" t="inlineStr">
        <is>
          <t>نامشخص</t>
        </is>
      </c>
      <c r="AC41" s="2" t="inlineStr">
        <is>
          <t>داده عمومی قابل اتکا پیدا نشد</t>
        </is>
      </c>
    </row>
    <row r="42">
      <c r="A42" s="2" t="inlineStr">
        <is>
          <t>CMP-042</t>
        </is>
      </c>
      <c r="B42" s="2" t="inlineStr">
        <is>
          <t>کمپین نمایشگاهی/رویدادی</t>
        </is>
      </c>
      <c r="C42" s="2" t="inlineStr">
        <is>
          <t>2+10. رونمایی در نمایشگاه</t>
        </is>
      </c>
      <c r="D42" s="2" t="inlineStr">
        <is>
          <t>BR-011;BR-012</t>
        </is>
      </c>
      <c r="E42" s="2" t="inlineStr">
        <is>
          <t>Hyundai؛ Kia</t>
        </is>
      </c>
      <c r="F42" s="2" t="inlineStr">
        <is>
          <t>هرمس خودرو</t>
        </is>
      </c>
      <c r="G42" s="2" t="inlineStr">
        <is>
          <t>هرمس خودرو با «چهره تازه»؛ رونمایی هیوندای آزرا ۳.۵ و کیا K4 و نمایش پالیسید</t>
        </is>
      </c>
      <c r="H42" s="2" t="inlineStr">
        <is>
          <t>«چهره تازه» (عنوان خبری)</t>
        </is>
      </c>
      <c r="I42" s="2" t="inlineStr">
        <is>
          <t>بازسازی تصویر و تأکید بر خدمات و قطعات</t>
        </is>
      </c>
      <c r="J42" s="2" t="inlineStr">
        <is>
          <t>نامشخص</t>
        </is>
      </c>
      <c r="K42" s="2" t="inlineStr">
        <is>
          <t>آزرا ۳.۵، کیا K4، پالیسید</t>
        </is>
      </c>
      <c r="L42" s="3" t="n">
        <v>46279</v>
      </c>
      <c r="M42" s="3" t="n">
        <v>46282</v>
      </c>
      <c r="N42" s="2" t="inlineStr">
        <is>
          <t>۲۳ تا ۲۶ شهریور ۱۴۰۵</t>
        </is>
      </c>
      <c r="O42" s="2" t="inlineStr">
        <is>
          <t>EV-087: شهریور ۱۴۰۵</t>
        </is>
      </c>
      <c r="P42" s="2" t="inlineStr">
        <is>
          <t>تهران</t>
        </is>
      </c>
      <c r="Q42" s="2" t="inlineStr">
        <is>
          <t>نمایشگاه</t>
        </is>
      </c>
      <c r="R42" s="2" t="inlineStr">
        <is>
          <t>تمرکز بر خدمات مشتری و تأمین قطعات</t>
        </is>
      </c>
      <c r="S42" s="2" t="inlineStr">
        <is>
          <t>غرفه</t>
        </is>
      </c>
      <c r="T42" s="2" t="inlineStr">
        <is>
          <t>نامشخص</t>
        </is>
      </c>
      <c r="U42" s="2" t="inlineStr">
        <is>
          <t>نامشخص</t>
        </is>
      </c>
      <c r="V42" s="2" t="inlineStr">
        <is>
          <t>EV-087</t>
        </is>
      </c>
      <c r="W42" s="4" t="inlineStr">
        <is>
          <t>https://sanatemashin.com/fa/news/69940/</t>
        </is>
      </c>
      <c r="X42" s="2" t="inlineStr">
        <is>
          <t>نامشخص</t>
        </is>
      </c>
      <c r="Y42" s="2" t="inlineStr">
        <is>
          <t>WebSearch — 2026-10-10</t>
        </is>
      </c>
      <c r="Z42" s="2" t="inlineStr">
        <is>
          <t>نیازمند تأیید</t>
        </is>
      </c>
      <c r="AA42" s="2" t="inlineStr">
        <is>
          <t>Low</t>
        </is>
      </c>
      <c r="AB42" s="2" t="inlineStr">
        <is>
          <t>رونمایی‌ها از عناوین خبری نقل شده</t>
        </is>
      </c>
      <c r="AC42" s="2" t="inlineStr">
        <is>
          <t>داده عمومی قابل اتکا پیدا نشد</t>
        </is>
      </c>
    </row>
    <row r="43">
      <c r="A43" s="2" t="inlineStr">
        <is>
          <t>CMP-043</t>
        </is>
      </c>
      <c r="B43" s="2" t="inlineStr">
        <is>
          <t>کمپین نمایشگاهی/رویدادی</t>
        </is>
      </c>
      <c r="C43" s="2" t="inlineStr">
        <is>
          <t>10. نمایشگاهی و رویدادی</t>
        </is>
      </c>
      <c r="D43" s="2" t="inlineStr">
        <is>
          <t>BR-032</t>
        </is>
      </c>
      <c r="E43" s="2" t="inlineStr">
        <is>
          <t>Leapmotor / Tank (GWM)</t>
        </is>
      </c>
      <c r="F43" s="2" t="inlineStr">
        <is>
          <t>شتابران خودرو</t>
        </is>
      </c>
      <c r="G43" s="2" t="inlineStr">
        <is>
          <t>حضور شتابران خودرو با ۷ محصول (لیپ موتور تا تانک ۷۰۰)</t>
        </is>
      </c>
      <c r="H43" s="2" t="inlineStr">
        <is>
          <t>نامشخص</t>
        </is>
      </c>
      <c r="I43" s="2" t="inlineStr">
        <is>
          <t>نامشخص</t>
        </is>
      </c>
      <c r="J43" s="2" t="inlineStr">
        <is>
          <t>نامشخص</t>
        </is>
      </c>
      <c r="K43" s="2" t="inlineStr">
        <is>
          <t>لیپ موتور، تانک ۷۰۰ و…</t>
        </is>
      </c>
      <c r="L43" s="3" t="n">
        <v>46279</v>
      </c>
      <c r="M43" s="3" t="n">
        <v>46282</v>
      </c>
      <c r="N43" s="2" t="inlineStr">
        <is>
          <t>۲۳ تا ۲۶ شهریور ۱۴۰۵</t>
        </is>
      </c>
      <c r="O43" s="2" t="inlineStr">
        <is>
          <t>EV-088: شهریور ۱۴۰۵</t>
        </is>
      </c>
      <c r="P43" s="2" t="inlineStr">
        <is>
          <t>تهران</t>
        </is>
      </c>
      <c r="Q43" s="2" t="inlineStr">
        <is>
          <t>نمایشگاه</t>
        </is>
      </c>
      <c r="R43" s="2" t="inlineStr">
        <is>
          <t>نامشخص</t>
        </is>
      </c>
      <c r="S43" s="2" t="inlineStr">
        <is>
          <t>غرفه</t>
        </is>
      </c>
      <c r="T43" s="2" t="inlineStr">
        <is>
          <t>نامشخص</t>
        </is>
      </c>
      <c r="U43" s="2" t="inlineStr">
        <is>
          <t>نامشخص</t>
        </is>
      </c>
      <c r="V43" s="2" t="inlineStr">
        <is>
          <t>EV-088</t>
        </is>
      </c>
      <c r="W43" s="4" t="inlineStr">
        <is>
          <t>https://www.eghtesadonline.com/fa/news/2161916/</t>
        </is>
      </c>
      <c r="X43" s="2" t="inlineStr">
        <is>
          <t>نامشخص</t>
        </is>
      </c>
      <c r="Y43" s="2" t="inlineStr">
        <is>
          <t>WebSearch — 2026-10-10</t>
        </is>
      </c>
      <c r="Z43" s="2" t="inlineStr">
        <is>
          <t>نیازمند تأیید</t>
        </is>
      </c>
      <c r="AA43" s="2" t="inlineStr">
        <is>
          <t>Low</t>
        </is>
      </c>
      <c r="AB43" s="2" t="inlineStr">
        <is>
          <t>یک منبع</t>
        </is>
      </c>
      <c r="AC43" s="2" t="inlineStr">
        <is>
          <t>داده عمومی قابل اتکا پیدا نشد</t>
        </is>
      </c>
    </row>
    <row r="44">
      <c r="A44" s="2" t="inlineStr">
        <is>
          <t>CMP-044</t>
        </is>
      </c>
      <c r="B44" s="2" t="inlineStr">
        <is>
          <t>کمپین نمایشگاهی/رویدادی</t>
        </is>
      </c>
      <c r="C44" s="2" t="inlineStr">
        <is>
          <t>10. نمایشگاهی و رویدادی</t>
        </is>
      </c>
      <c r="D44" s="2" t="inlineStr">
        <is>
          <t>—</t>
        </is>
      </c>
      <c r="E44" s="2" t="inlineStr">
        <is>
          <t>—</t>
        </is>
      </c>
      <c r="F44" s="2" t="inlineStr">
        <is>
          <t>دیار خودرو</t>
        </is>
      </c>
      <c r="G44" s="2" t="inlineStr">
        <is>
          <t>حضور دیار خودرو با سه محصول</t>
        </is>
      </c>
      <c r="H44" s="2" t="inlineStr">
        <is>
          <t>نامشخص</t>
        </is>
      </c>
      <c r="I44" s="2" t="inlineStr">
        <is>
          <t>نامشخص</t>
        </is>
      </c>
      <c r="J44" s="2" t="inlineStr">
        <is>
          <t>نامشخص</t>
        </is>
      </c>
      <c r="K44" s="2" t="inlineStr">
        <is>
          <t>نامشخص</t>
        </is>
      </c>
      <c r="L44" s="3" t="n">
        <v>46279</v>
      </c>
      <c r="M44" s="3" t="n">
        <v>46282</v>
      </c>
      <c r="N44" s="2" t="inlineStr">
        <is>
          <t>۲۳ تا ۲۶ شهریور ۱۴۰۵</t>
        </is>
      </c>
      <c r="O44" s="2" t="inlineStr">
        <is>
          <t>EV-089: شهریور ۱۴۰۵</t>
        </is>
      </c>
      <c r="P44" s="2" t="inlineStr">
        <is>
          <t>تهران</t>
        </is>
      </c>
      <c r="Q44" s="2" t="inlineStr">
        <is>
          <t>نمایشگاه</t>
        </is>
      </c>
      <c r="R44" s="2" t="inlineStr">
        <is>
          <t>نامشخص</t>
        </is>
      </c>
      <c r="S44" s="2" t="inlineStr">
        <is>
          <t>غرفه</t>
        </is>
      </c>
      <c r="T44" s="2" t="inlineStr">
        <is>
          <t>نامشخص</t>
        </is>
      </c>
      <c r="U44" s="2" t="inlineStr">
        <is>
          <t>نامشخص</t>
        </is>
      </c>
      <c r="V44" s="2" t="inlineStr">
        <is>
          <t>EV-089</t>
        </is>
      </c>
      <c r="W44" s="4" t="inlineStr">
        <is>
          <t>https://sanatemashin.com/fa/news/69999/</t>
        </is>
      </c>
      <c r="X44" s="2" t="inlineStr">
        <is>
          <t>نامشخص</t>
        </is>
      </c>
      <c r="Y44" s="2" t="inlineStr">
        <is>
          <t>WebSearch — 2026-10-10</t>
        </is>
      </c>
      <c r="Z44" s="2" t="inlineStr">
        <is>
          <t>نیازمند تأیید</t>
        </is>
      </c>
      <c r="AA44" s="2" t="inlineStr">
        <is>
          <t>Low</t>
        </is>
      </c>
      <c r="AB44" s="2" t="inlineStr">
        <is>
          <t>برندهای عرضه‌شده مشخص نیست</t>
        </is>
      </c>
      <c r="AC44" s="2" t="inlineStr">
        <is>
          <t>داده عمومی قابل اتکا پیدا نشد</t>
        </is>
      </c>
    </row>
    <row r="45">
      <c r="A45" s="2" t="inlineStr">
        <is>
          <t>CMP-045</t>
        </is>
      </c>
      <c r="B45" s="2" t="inlineStr">
        <is>
          <t>طرح فروش (فعالیت فروش؛ مرز با کمپین)</t>
        </is>
      </c>
      <c r="C45" s="2" t="inlineStr">
        <is>
          <t>3. فروش (پلتفرم دولتی)</t>
        </is>
      </c>
      <c r="D45" s="2" t="inlineStr">
        <is>
          <t>BR-011;BR-012;BR-025;BR-033;BR-034</t>
        </is>
      </c>
      <c r="E45" s="2" t="inlineStr">
        <is>
          <t>Hyundai؛ Kia؛ Toyota؛ Suzuki؛ Skywell</t>
        </is>
      </c>
      <c r="F45" s="2" t="inlineStr">
        <is>
          <t>سامانه یکپارچه واردات؛ هرمس خودرو؛ یاسین موتور و دیگران</t>
        </is>
      </c>
      <c r="G45" s="2" t="inlineStr">
        <is>
          <t>دور آذر ۱۴۰۴ عرضه خودروهای وارداتی در سامانه یکپارچه</t>
        </is>
      </c>
      <c r="H45" s="2" t="inlineStr">
        <is>
          <t>نامشخص</t>
        </is>
      </c>
      <c r="I45" s="2" t="inlineStr">
        <is>
          <t>فروش</t>
        </is>
      </c>
      <c r="J45" s="2" t="inlineStr">
        <is>
          <t>متقاضیان با حساب وکالتی</t>
        </is>
      </c>
      <c r="K45" s="2" t="inlineStr">
        <is>
          <t>اسپورتیج، K3، النترا، توسان، کرولا کراس، اسکای‌ول، جیمنی</t>
        </is>
      </c>
      <c r="L45" s="3" t="n">
        <v>45986</v>
      </c>
      <c r="M45" s="3" t="n">
        <v>45994</v>
      </c>
      <c r="N45" s="2" t="inlineStr">
        <is>
          <t>۴ تا ۱۲ آذر ۱۴۰۴</t>
        </is>
      </c>
      <c r="O45" s="2" t="inlineStr">
        <is>
          <t>EV-070: آذر ۱۴۰۴؛ EV-071: آذر ۱۴۰۴؛ EV-072: آذر ۱۴۰۴</t>
        </is>
      </c>
      <c r="P45" s="2" t="inlineStr">
        <is>
          <t>سراسری</t>
        </is>
      </c>
      <c r="Q45" s="2" t="inlineStr">
        <is>
          <t>salecars.ir</t>
        </is>
      </c>
      <c r="R45" s="2" t="inlineStr">
        <is>
          <t>نامشخص</t>
        </is>
      </c>
      <c r="S45" s="2" t="inlineStr">
        <is>
          <t>سامانه</t>
        </is>
      </c>
      <c r="T45" s="2" t="inlineStr">
        <is>
          <t>بلوکه ۵۰۰ م.ت در حساب وکالتی</t>
        </is>
      </c>
      <c r="U45" s="2" t="inlineStr">
        <is>
          <t>نامشخص</t>
        </is>
      </c>
      <c r="V45" s="2" t="inlineStr">
        <is>
          <t>EV-070;EV-071;EV-072</t>
        </is>
      </c>
      <c r="W45" s="4" t="inlineStr">
        <is>
          <t>https://khodro45.com/mag/avn-imported-cars-system-lottery-04-09-25/</t>
        </is>
      </c>
      <c r="X45" s="2" t="inlineStr">
        <is>
          <t>نامشخص</t>
        </is>
      </c>
      <c r="Y45" s="2" t="inlineStr">
        <is>
          <t>WebSearch — 2026-10-10</t>
        </is>
      </c>
      <c r="Z45" s="2" t="inlineStr">
        <is>
          <t>تأییدشده (رویداد فروش)</t>
        </is>
      </c>
      <c r="AA45" s="2" t="inlineStr">
        <is>
          <t>Medium</t>
        </is>
      </c>
      <c r="AB45" s="2" t="inlineStr">
        <is>
          <t>کمپین برند نیست؛ تصمیم دولتی/پلتفرمی</t>
        </is>
      </c>
      <c r="AC45" s="2" t="inlineStr">
        <is>
          <t>داده عمومی قابل اتکا پیدا نشد</t>
        </is>
      </c>
    </row>
    <row r="46">
      <c r="A46" s="2" t="inlineStr">
        <is>
          <t>CMP-046</t>
        </is>
      </c>
      <c r="B46" s="2" t="inlineStr">
        <is>
          <t>طرح فروش (فعالیت فروش؛ مرز با کمپین)</t>
        </is>
      </c>
      <c r="C46" s="2" t="inlineStr">
        <is>
          <t>3. فروش (پلتفرم دولتی)</t>
        </is>
      </c>
      <c r="D46" s="2" t="inlineStr">
        <is>
          <t>BR-025;BR-012;BR-022;BR-035;BR-036;BR-047</t>
        </is>
      </c>
      <c r="E46" s="2" t="inlineStr">
        <is>
          <t>Toyota؛ Kia؛ BYD؛ Skoda؛ Dacia؛ Mars (طبق اطلاعیه اتونوین)</t>
        </is>
      </c>
      <c r="F46" s="2" t="inlineStr">
        <is>
          <t>اتونوین / سامانه یکپارچه</t>
        </is>
      </c>
      <c r="G46" s="2" t="inlineStr">
        <is>
          <t>دورهای ۱۴۰۵ عرضه خودروهای وارداتی (اردیبهشت، خرداد، تیر، مهر)</t>
        </is>
      </c>
      <c r="H46" s="2" t="inlineStr">
        <is>
          <t>«بدون قرعه‌کشی و به قیمت کارخانه» (عنوان خبری مهر)</t>
        </is>
      </c>
      <c r="I46" s="2" t="inlineStr">
        <is>
          <t>فروش</t>
        </is>
      </c>
      <c r="J46" s="2" t="inlineStr">
        <is>
          <t>نامشخص</t>
        </is>
      </c>
      <c r="K46" s="2" t="inlineStr">
        <is>
          <t>تویوتا، اشکودا، داچیا، BYD، کیا، مارس و…</t>
        </is>
      </c>
      <c r="L46" s="3" t="n">
        <v>46133</v>
      </c>
      <c r="M46" s="2" t="inlineStr">
        <is>
          <t>نامشخص</t>
        </is>
      </c>
      <c r="N46" s="2" t="inlineStr">
        <is>
          <t>اردیبهشت تا مهر ۱۴۰۵ (مهر: از ۱ مهر)</t>
        </is>
      </c>
      <c r="O46" s="2" t="inlineStr">
        <is>
          <t>EV-073: خرداد ۱۴۰۵؛ EV-074: شهریور ۱۴۰۵؛ EV-075: اردیبهشت ۱۴۰۵</t>
        </is>
      </c>
      <c r="P46" s="2" t="inlineStr">
        <is>
          <t>سراسری</t>
        </is>
      </c>
      <c r="Q46" s="2" t="inlineStr">
        <is>
          <t>اتونوین</t>
        </is>
      </c>
      <c r="R46" s="2" t="inlineStr">
        <is>
          <t>نامشخص</t>
        </is>
      </c>
      <c r="S46" s="2" t="inlineStr">
        <is>
          <t>سامانه</t>
        </is>
      </c>
      <c r="T46" s="2" t="inlineStr">
        <is>
          <t>نامشخص</t>
        </is>
      </c>
      <c r="U46" s="2" t="inlineStr">
        <is>
          <t>نامشخص</t>
        </is>
      </c>
      <c r="V46" s="2" t="inlineStr">
        <is>
          <t>EV-073;EV-074;EV-075</t>
        </is>
      </c>
      <c r="W46" s="4" t="inlineStr">
        <is>
          <t>https://www.taadolnewspaper.ir/fa/news/389650/</t>
        </is>
      </c>
      <c r="X46" s="2" t="inlineStr">
        <is>
          <t>نامشخص</t>
        </is>
      </c>
      <c r="Y46" s="2" t="inlineStr">
        <is>
          <t>WebSearch — 2026-10-10</t>
        </is>
      </c>
      <c r="Z46" s="2" t="inlineStr">
        <is>
          <t>تأییدشده (رویداد فروش)</t>
        </is>
      </c>
      <c r="AA46" s="2" t="inlineStr">
        <is>
          <t>Medium</t>
        </is>
      </c>
      <c r="AB46" s="2" t="inlineStr">
        <is>
          <t>کمپین برند نیست</t>
        </is>
      </c>
      <c r="AC46" s="2" t="inlineStr">
        <is>
          <t>داده عمومی قابل اتکا پیدا نشد</t>
        </is>
      </c>
    </row>
    <row r="47">
      <c r="A47" s="2" t="inlineStr">
        <is>
          <t>CMP-047</t>
        </is>
      </c>
      <c r="B47" s="2" t="inlineStr">
        <is>
          <t>طرح فروش (فعالیت فروش؛ مرز با کمپین)</t>
        </is>
      </c>
      <c r="C47" s="2" t="inlineStr">
        <is>
          <t>3. فروش (پلتفرم دولتی)</t>
        </is>
      </c>
      <c r="D47" s="2" t="inlineStr">
        <is>
          <t>BR-022</t>
        </is>
      </c>
      <c r="E47" s="2" t="inlineStr">
        <is>
          <t>BYD</t>
        </is>
      </c>
      <c r="F47" s="2" t="inlineStr">
        <is>
          <t>بی‌وای‌دی علی</t>
        </is>
      </c>
      <c r="G47" s="2" t="inlineStr">
        <is>
          <t>عرضه BYD هان از طریق سامانه واردات</t>
        </is>
      </c>
      <c r="H47" s="2" t="inlineStr">
        <is>
          <t>نامشخص</t>
        </is>
      </c>
      <c r="I47" s="2" t="inlineStr">
        <is>
          <t>فروش</t>
        </is>
      </c>
      <c r="J47" s="2" t="inlineStr">
        <is>
          <t>نامشخص</t>
        </is>
      </c>
      <c r="K47" s="2" t="inlineStr">
        <is>
          <t>BYD Han PHEV، Seal 06</t>
        </is>
      </c>
      <c r="L47" s="2" t="inlineStr">
        <is>
          <t>نامشخص</t>
        </is>
      </c>
      <c r="M47" s="2" t="inlineStr">
        <is>
          <t>نامشخص</t>
        </is>
      </c>
      <c r="N47" s="2" t="inlineStr">
        <is>
          <t>بهمن ۱۴۰۴</t>
        </is>
      </c>
      <c r="O47" s="2" t="inlineStr">
        <is>
          <t>EV-104: ۱۴۰۵</t>
        </is>
      </c>
      <c r="P47" s="2" t="inlineStr">
        <is>
          <t>سراسری</t>
        </is>
      </c>
      <c r="Q47" s="2" t="inlineStr">
        <is>
          <t>سامانه؛ byd-ali.ir</t>
        </is>
      </c>
      <c r="R47" s="2" t="inlineStr">
        <is>
          <t>نامشخص</t>
        </is>
      </c>
      <c r="S47" s="2" t="inlineStr">
        <is>
          <t>سامانه</t>
        </is>
      </c>
      <c r="T47" s="2" t="inlineStr">
        <is>
          <t>نامشخص</t>
        </is>
      </c>
      <c r="U47" s="2" t="inlineStr">
        <is>
          <t>نامشخص</t>
        </is>
      </c>
      <c r="V47" s="2" t="inlineStr">
        <is>
          <t>EV-104</t>
        </is>
      </c>
      <c r="W47" s="4" t="inlineStr">
        <is>
          <t>https://khodro45.com/mag/byd-sell/</t>
        </is>
      </c>
      <c r="X47" s="2" t="inlineStr">
        <is>
          <t>نامشخص</t>
        </is>
      </c>
      <c r="Y47" s="2" t="inlineStr">
        <is>
          <t>WebSearch — 2026-10-10</t>
        </is>
      </c>
      <c r="Z47" s="2" t="inlineStr">
        <is>
          <t>نیازمند تأیید</t>
        </is>
      </c>
      <c r="AA47" s="2" t="inlineStr">
        <is>
          <t>Low</t>
        </is>
      </c>
      <c r="AB47" s="2" t="inlineStr">
        <is>
          <t>یک منبع</t>
        </is>
      </c>
      <c r="AC47" s="2" t="inlineStr">
        <is>
          <t>داده عمومی قابل اتکا پیدا نشد</t>
        </is>
      </c>
    </row>
    <row r="48">
      <c r="A48" s="2" t="inlineStr">
        <is>
          <t>CMP-048</t>
        </is>
      </c>
      <c r="B48" s="2" t="inlineStr">
        <is>
          <t>طرح فروش (فعالیت فروش؛ مرز با کمپین)</t>
        </is>
      </c>
      <c r="C48" s="2" t="inlineStr">
        <is>
          <t>3. فروش و جذب مشتری</t>
        </is>
      </c>
      <c r="D48" s="2" t="inlineStr">
        <is>
          <t>BR-019</t>
        </is>
      </c>
      <c r="E48" s="2" t="inlineStr">
        <is>
          <t>Lamari</t>
        </is>
      </c>
      <c r="F48" s="2" t="inlineStr">
        <is>
          <t>آرین موتور</t>
        </is>
      </c>
      <c r="G48" s="2" t="inlineStr">
        <is>
          <t>فروش لاماری ایما هیبرید (مهر ۱۴۰۴)</t>
        </is>
      </c>
      <c r="H48" s="2" t="inlineStr">
        <is>
          <t>نامشخص</t>
        </is>
      </c>
      <c r="I48" s="2" t="inlineStr">
        <is>
          <t>فروش</t>
        </is>
      </c>
      <c r="J48" s="2" t="inlineStr">
        <is>
          <t>نامشخص</t>
        </is>
      </c>
      <c r="K48" s="2" t="inlineStr">
        <is>
          <t>لاماری ایما هیبرید</t>
        </is>
      </c>
      <c r="L48" s="2" t="inlineStr">
        <is>
          <t>نامشخص</t>
        </is>
      </c>
      <c r="M48" s="2" t="inlineStr">
        <is>
          <t>نامشخص</t>
        </is>
      </c>
      <c r="N48" s="2" t="inlineStr">
        <is>
          <t>مهر ۱۴۰۴</t>
        </is>
      </c>
      <c r="O48" s="2" t="inlineStr">
        <is>
          <t>EV-091: مهر ۱۴۰۴</t>
        </is>
      </c>
      <c r="P48" s="2" t="inlineStr">
        <is>
          <t>سراسری</t>
        </is>
      </c>
      <c r="Q48" s="2" t="inlineStr">
        <is>
          <t>سامانه</t>
        </is>
      </c>
      <c r="R48" s="2" t="inlineStr">
        <is>
          <t>نامشخص</t>
        </is>
      </c>
      <c r="S48" s="2" t="inlineStr">
        <is>
          <t>بخشنامه</t>
        </is>
      </c>
      <c r="T48" s="2" t="inlineStr">
        <is>
          <t>نامشخص</t>
        </is>
      </c>
      <c r="U48" s="2" t="inlineStr">
        <is>
          <t>نامشخص</t>
        </is>
      </c>
      <c r="V48" s="2" t="inlineStr">
        <is>
          <t>EV-091</t>
        </is>
      </c>
      <c r="W48" s="4" t="inlineStr">
        <is>
          <t>https://vista.ir/n/andishehqarn/v06zi</t>
        </is>
      </c>
      <c r="X48" s="2" t="inlineStr">
        <is>
          <t>نامشخص</t>
        </is>
      </c>
      <c r="Y48" s="2" t="inlineStr">
        <is>
          <t>WebSearch — 2026-10-10</t>
        </is>
      </c>
      <c r="Z48" s="2" t="inlineStr">
        <is>
          <t>نیازمند تأیید</t>
        </is>
      </c>
      <c r="AA48" s="2" t="inlineStr">
        <is>
          <t>Low</t>
        </is>
      </c>
      <c r="AB48" s="2" t="inlineStr">
        <is>
          <t>ممکن است پیش از ۱۸ مهر ۱۴۰۴ آغاز شده باشد</t>
        </is>
      </c>
      <c r="AC48" s="2" t="inlineStr">
        <is>
          <t>داده عمومی قابل اتکا پیدا نشد</t>
        </is>
      </c>
    </row>
    <row r="49">
      <c r="A49" s="2" t="inlineStr">
        <is>
          <t>ECO-001</t>
        </is>
      </c>
      <c r="B49" s="2" t="inlineStr">
        <is>
          <t>اکوسیستم مرتبط (خارج از جامعه برند)</t>
        </is>
      </c>
      <c r="C49" s="2" t="inlineStr">
        <is>
          <t>6. تبلیغات محیطی (OOH)</t>
        </is>
      </c>
      <c r="D49" s="2" t="inlineStr">
        <is>
          <t>—</t>
        </is>
      </c>
      <c r="E49" s="2" t="inlineStr">
        <is>
          <t>—</t>
        </is>
      </c>
      <c r="F49" s="2" t="inlineStr">
        <is>
          <t>خودرو۴۵ (پلتفرم خرید و فروش خودرو)</t>
        </is>
      </c>
      <c r="G49" s="2" t="inlineStr">
        <is>
          <t>کمپین محیطی «یک… آن فروخته شد»</t>
        </is>
      </c>
      <c r="H49" s="2" t="inlineStr">
        <is>
          <t>یک… آن فروخته شد</t>
        </is>
      </c>
      <c r="I49" s="2" t="inlineStr">
        <is>
          <t>آگاهی و تمایز با پیام سرعت فروش</t>
        </is>
      </c>
      <c r="J49" s="2" t="inlineStr">
        <is>
          <t>فروشندگان خودروی کارکرده در تهران</t>
        </is>
      </c>
      <c r="K49" s="2" t="inlineStr">
        <is>
          <t>خدمت خرید فوری خودرو</t>
        </is>
      </c>
      <c r="L49" s="3" t="n">
        <v>46007</v>
      </c>
      <c r="M49" s="3" t="n">
        <v>46037</v>
      </c>
      <c r="N49" s="2" t="inlineStr">
        <is>
          <t>از ۲۵ آذر ۱۴۰۴ به مدت یک ماه</t>
        </is>
      </c>
      <c r="O49" s="2" t="inlineStr">
        <is>
          <t>EV-110: آذر ۱۴۰۴؛ EV-111: آذر ۱۴۰۴</t>
        </is>
      </c>
      <c r="P49" s="2" t="inlineStr">
        <is>
          <t>تهران</t>
        </is>
      </c>
      <c r="Q49" s="2" t="inlineStr">
        <is>
          <t>بیلبورد/تبلیغات محیطی</t>
        </is>
      </c>
      <c r="R49" s="2" t="inlineStr">
        <is>
          <t>نمایش «نتیجه نهایی» پیش از جزئیات؛ تأکید بر یک‌بار مراجعه</t>
        </is>
      </c>
      <c r="S49" s="2" t="inlineStr">
        <is>
          <t>بیلبورد</t>
        </is>
      </c>
      <c r="T49" s="2" t="inlineStr">
        <is>
          <t>نامشخص</t>
        </is>
      </c>
      <c r="U49" s="2" t="inlineStr">
        <is>
          <t>نامشخص</t>
        </is>
      </c>
      <c r="V49" s="2" t="inlineStr">
        <is>
          <t>EV-110;EV-111</t>
        </is>
      </c>
      <c r="W49" s="4" t="inlineStr">
        <is>
          <t>https://www.zoomit.ir/iran-news/454674-khodro45-outdoor-campaign-sold-in-a-moment/</t>
        </is>
      </c>
      <c r="X49" s="2" t="inlineStr">
        <is>
          <t>نامشخص</t>
        </is>
      </c>
      <c r="Y49" s="2" t="inlineStr">
        <is>
          <t>WebSearch — 2026-10-10</t>
        </is>
      </c>
      <c r="Z49" s="2" t="inlineStr">
        <is>
          <t>تأییدشده (دو رسانه)</t>
        </is>
      </c>
      <c r="AA49" s="2" t="inlineStr">
        <is>
          <t>Medium</t>
        </is>
      </c>
      <c r="AB49" s="2" t="inlineStr">
        <is>
          <t>خارج از جامعه برندهای خودرو؛ برای مقایسه خلاقه ثبت شد</t>
        </is>
      </c>
      <c r="AC49" s="2" t="inlineStr">
        <is>
          <t>داده عمومی قابل اتکا پیدا نشد</t>
        </is>
      </c>
    </row>
    <row r="50">
      <c r="A50" s="2" t="inlineStr">
        <is>
          <t>ECO-002</t>
        </is>
      </c>
      <c r="B50" s="2" t="inlineStr">
        <is>
          <t>اکوسیستم مرتبط (خارج از جامعه برند)</t>
        </is>
      </c>
      <c r="C50" s="2" t="inlineStr">
        <is>
          <t>6. تبلیغات محیطی (OOH) — تیزینگ</t>
        </is>
      </c>
      <c r="D50" s="2" t="inlineStr">
        <is>
          <t>—</t>
        </is>
      </c>
      <c r="E50" s="2" t="inlineStr">
        <is>
          <t>—</t>
        </is>
      </c>
      <c r="F50" s="2" t="inlineStr">
        <is>
          <t>کاسپین (روانکار/محصولات خودرویی)</t>
        </is>
      </c>
      <c r="G50" s="2" t="inlineStr">
        <is>
          <t>کمپین «آنفلوانزای خودرویی»</t>
        </is>
      </c>
      <c r="H50" s="2" t="inlineStr">
        <is>
          <t>آنفلوانزای خودرویی / «واکسن آنفلوانزای خودرویی»</t>
        </is>
      </c>
      <c r="I50" s="2" t="inlineStr">
        <is>
          <t>کنجکاوی و آگاهی</t>
        </is>
      </c>
      <c r="J50" s="2" t="inlineStr">
        <is>
          <t>رانندگان تهران</t>
        </is>
      </c>
      <c r="K50" s="2" t="inlineStr">
        <is>
          <t>یکی از محصولات کاسپین</t>
        </is>
      </c>
      <c r="L50" s="2" t="inlineStr">
        <is>
          <t>نامشخص</t>
        </is>
      </c>
      <c r="M50" s="2" t="inlineStr">
        <is>
          <t>نامشخص</t>
        </is>
      </c>
      <c r="N50" s="2" t="inlineStr">
        <is>
          <t>نامشخص</t>
        </is>
      </c>
      <c r="O50" s="2" t="inlineStr">
        <is>
          <t>EV-112: نامشخص</t>
        </is>
      </c>
      <c r="P50" s="2" t="inlineStr">
        <is>
          <t>تهران</t>
        </is>
      </c>
      <c r="Q50" s="2" t="inlineStr">
        <is>
          <t>بیلبورد</t>
        </is>
      </c>
      <c r="R50" s="2" t="inlineStr">
        <is>
          <t>تیزینگ دو مرحله‌ای؛ فاز اول بدون نام برند</t>
        </is>
      </c>
      <c r="S50" s="2" t="inlineStr">
        <is>
          <t>بیلبورد</t>
        </is>
      </c>
      <c r="T50" s="2" t="inlineStr">
        <is>
          <t>نامشخص</t>
        </is>
      </c>
      <c r="U50" s="2" t="inlineStr">
        <is>
          <t>نامشخص</t>
        </is>
      </c>
      <c r="V50" s="2" t="inlineStr">
        <is>
          <t>EV-112</t>
        </is>
      </c>
      <c r="W50" s="4" t="inlineStr">
        <is>
          <t>https://www.tabnak.ir/fa/news/1356090/</t>
        </is>
      </c>
      <c r="X50" s="2" t="inlineStr">
        <is>
          <t>نامشخص</t>
        </is>
      </c>
      <c r="Y50" s="2" t="inlineStr">
        <is>
          <t>WebSearch — 2026-10-10</t>
        </is>
      </c>
      <c r="Z50" s="2" t="inlineStr">
        <is>
          <t>نیازمند تأیید (تاریخ)</t>
        </is>
      </c>
      <c r="AA50" s="2" t="inlineStr">
        <is>
          <t>Low</t>
        </is>
      </c>
      <c r="AB50" s="2" t="inlineStr">
        <is>
          <t>خارج از جامعه برندهای خودرو؛ تاریخ اجرا تأیید نشد</t>
        </is>
      </c>
      <c r="AC50" s="2" t="inlineStr">
        <is>
          <t>داده عمومی قابل اتکا پیدا نشد</t>
        </is>
      </c>
    </row>
    <row r="51">
      <c r="A51" s="2" t="inlineStr">
        <is>
          <t>CMP-049</t>
        </is>
      </c>
      <c r="B51" s="2" t="inlineStr">
        <is>
          <t>کمپین تبلیغاتی/ترویجی</t>
        </is>
      </c>
      <c r="C51" s="2" t="inlineStr">
        <is>
          <t>7. شبکه‌های اجتماعی و تولید محتوای کاربر (UGC)</t>
        </is>
      </c>
      <c r="D51" s="2" t="inlineStr">
        <is>
          <t>BR-001</t>
        </is>
      </c>
      <c r="E51" s="2" t="inlineStr">
        <is>
          <t>ایران خودرو (IKCO) — تارا، ری‌را، دنا، سورن، پژو ۲۰۷</t>
        </is>
      </c>
      <c r="F51" s="2" t="inlineStr">
        <is>
          <t>ایران خودرو</t>
        </is>
      </c>
      <c r="G51" s="2" t="inlineStr">
        <is>
          <t>مسابقه تولید محتوای اینستاگرامی «معرفی خودرو» در نمایشگاه خودرو تهران</t>
        </is>
      </c>
      <c r="H51" s="2" t="inlineStr">
        <is>
          <t>نامشخص</t>
        </is>
      </c>
      <c r="I51" s="2" t="inlineStr">
        <is>
          <t>تولید محتوای کاربرمحور و افزایش دیده‌شدن در اینستاگرام هم‌زمان با نمایشگاه</t>
        </is>
      </c>
      <c r="J51" s="2" t="inlineStr">
        <is>
          <t>بازدیدکنندگان نمایشگاه و تولیدکنندگان محتوا</t>
        </is>
      </c>
      <c r="K51" s="2" t="inlineStr">
        <is>
          <t>محصولات غرفه ایران خودرو</t>
        </is>
      </c>
      <c r="L51" s="3" t="n">
        <v>46279</v>
      </c>
      <c r="M51" s="2" t="inlineStr">
        <is>
          <t>نامشخص</t>
        </is>
      </c>
      <c r="N51" s="2" t="inlineStr">
        <is>
          <t>هم‌زمان با نمایشگاه (۲۳ تا ۲۶ شهریور ۱۴۰۵)؛ مهلت ارسال نامشخص</t>
        </is>
      </c>
      <c r="O51" s="2" t="inlineStr">
        <is>
          <t>EV-126: شهریور ۱۴۰۵؛ EV-127: شهریور ۱۴۰۵؛ EV-128: شهریور ۱۴۰۵</t>
        </is>
      </c>
      <c r="P51" s="2" t="inlineStr">
        <is>
          <t>تهران / آنلاین</t>
        </is>
      </c>
      <c r="Q51" s="2" t="inlineStr">
        <is>
          <t>اینستاگرام (ریلز)؛ نمایشگاه؛ رسانه</t>
        </is>
      </c>
      <c r="R51" s="2" t="inlineStr">
        <is>
          <t>کاربران ویدئوی حداکثر ۱:۳۰ از خودرو می‌سازند، به‌صورت ریلز منتشر و @official.ikco را تگ می‌کنند؛ داوری بر اساس کیفیت، خلاقیت، روایت و بازدید، نه فقط فالوور</t>
        </is>
      </c>
      <c r="S51" s="2" t="inlineStr">
        <is>
          <t>ریلز اینستاگرام (UGC)</t>
        </is>
      </c>
      <c r="T51" s="2" t="inlineStr">
        <is>
          <t>جایزه ۱۰۰، ۵۰ و ۲۵ میلیون تومان (جمع ۱۷۵ میلیون)</t>
        </is>
      </c>
      <c r="U51" s="2" t="inlineStr">
        <is>
          <t>نامشخص</t>
        </is>
      </c>
      <c r="V51" s="2" t="inlineStr">
        <is>
          <t>EV-126;EV-127;EV-128</t>
        </is>
      </c>
      <c r="W51" s="4" t="inlineStr">
        <is>
          <t>https://www.pedal.ir/news/746813-ikco-content-competition-tehran-auto-show/</t>
        </is>
      </c>
      <c r="X51" s="2" t="inlineStr">
        <is>
          <t>نامشخص</t>
        </is>
      </c>
      <c r="Y51" s="2" t="inlineStr">
        <is>
          <t>WebSearch — 2026-10-10</t>
        </is>
      </c>
      <c r="Z51" s="2" t="inlineStr">
        <is>
          <t>تأییدشده (سه منبع)</t>
        </is>
      </c>
      <c r="AA51" s="2" t="inlineStr">
        <is>
          <t>Medium</t>
        </is>
      </c>
      <c r="AB51" s="2" t="inlineStr">
        <is>
          <t>شمار شرکت‌کنندگان، برندگان و بازدیدها منتشر نشده یا یافت نشد</t>
        </is>
      </c>
      <c r="AC51" s="2" t="inlineStr">
        <is>
          <t>داده عمومی قابل اتکا پیدا نشد</t>
        </is>
      </c>
    </row>
    <row r="52">
      <c r="A52" s="2" t="inlineStr">
        <is>
          <t>CMP-050</t>
        </is>
      </c>
      <c r="B52" s="2" t="inlineStr">
        <is>
          <t>طرح فروش (فعالیت فروش؛ مرز با کمپین)</t>
        </is>
      </c>
      <c r="C52" s="2" t="inlineStr">
        <is>
          <t>4. پیش‌فروش/مشارکت در تولید</t>
        </is>
      </c>
      <c r="D52" s="2" t="inlineStr">
        <is>
          <t>BR-003</t>
        </is>
      </c>
      <c r="E52" s="2" t="inlineStr">
        <is>
          <t>سایپا — شاهین، آریا، اطلس، ساینا، کوییک، ۱۵۱</t>
        </is>
      </c>
      <c r="F52" s="2" t="inlineStr">
        <is>
          <t>سایپا</t>
        </is>
      </c>
      <c r="G52" s="2" t="inlineStr">
        <is>
          <t>فروش مشارکتی آریا اتوماتیک و کوییک S بدون قرعه‌کشی (مهر ۱۴۰۵)</t>
        </is>
      </c>
      <c r="H52" s="2" t="inlineStr">
        <is>
          <t>«بدون قرعه‌کشی»</t>
        </is>
      </c>
      <c r="I52" s="2" t="inlineStr">
        <is>
          <t>جذب پیش‌پرداخت</t>
        </is>
      </c>
      <c r="J52" s="2" t="inlineStr">
        <is>
          <t>متقاضیان عادی (ظرفیت مازاد طرح حمایت از خانواده و جوانی جمعیت)</t>
        </is>
      </c>
      <c r="K52" s="2" t="inlineStr">
        <is>
          <t>آریا اتوماتیک (۲۰۰۰)، کوییک S (۱۳۰۰)</t>
        </is>
      </c>
      <c r="L52" s="3" t="n">
        <v>46299</v>
      </c>
      <c r="M52" s="2" t="inlineStr">
        <is>
          <t>نامشخص</t>
        </is>
      </c>
      <c r="N52" s="2" t="inlineStr">
        <is>
          <t>از ۱۲ مهر ۱۴۰۵ تا تکمیل ظرفیت</t>
        </is>
      </c>
      <c r="O52" s="2" t="inlineStr">
        <is>
          <t>EV-124: مهر ۱۴۰۵؛ EV-125: مهر ۱۴۰۵</t>
        </is>
      </c>
      <c r="P52" s="2" t="inlineStr">
        <is>
          <t>سراسری (saipa.iranecar.com)</t>
        </is>
      </c>
      <c r="Q52" s="2" t="inlineStr">
        <is>
          <t>سامانه فروش</t>
        </is>
      </c>
      <c r="R52" s="2" t="inlineStr">
        <is>
          <t>نامشخص</t>
        </is>
      </c>
      <c r="S52" s="2" t="inlineStr">
        <is>
          <t>بخشنامه</t>
        </is>
      </c>
      <c r="T52" s="2" t="inlineStr">
        <is>
          <t>پیش‌پرداخت دومرحله‌ای؛ سود مشارکت ۲۰.۵٪</t>
        </is>
      </c>
      <c r="U52" s="2" t="inlineStr">
        <is>
          <t>نامشخص</t>
        </is>
      </c>
      <c r="V52" s="2" t="inlineStr">
        <is>
          <t>EV-124;EV-125</t>
        </is>
      </c>
      <c r="W52" s="4" t="inlineStr">
        <is>
          <t>https://rahbordemoaser.ir/fa/news/320132/</t>
        </is>
      </c>
      <c r="X52" s="2" t="inlineStr">
        <is>
          <t>نامشخص</t>
        </is>
      </c>
      <c r="Y52" s="2" t="inlineStr">
        <is>
          <t>WebSearch — 2026-10-10</t>
        </is>
      </c>
      <c r="Z52" s="2" t="inlineStr">
        <is>
          <t>نیازمند تأیید</t>
        </is>
      </c>
      <c r="AA52" s="2" t="inlineStr">
        <is>
          <t>Medium</t>
        </is>
      </c>
      <c r="AB52" s="2" t="inlineStr">
        <is>
          <t>فعالیت فروش</t>
        </is>
      </c>
      <c r="AC52" s="2" t="inlineStr">
        <is>
          <t>داده عمومی قابل اتکا پیدا نشد</t>
        </is>
      </c>
    </row>
    <row r="53">
      <c r="A53" s="2" t="inlineStr">
        <is>
          <t>CMP-051</t>
        </is>
      </c>
      <c r="B53" s="2" t="inlineStr">
        <is>
          <t>طرح فروش (فعالیت فروش؛ مرز با کمپین)</t>
        </is>
      </c>
      <c r="C53" s="2" t="inlineStr">
        <is>
          <t>3. فروش (پس از رونمایی نمایشگاهی)</t>
        </is>
      </c>
      <c r="D53" s="2" t="inlineStr">
        <is>
          <t>BR-016</t>
        </is>
      </c>
      <c r="E53" s="2" t="inlineStr">
        <is>
          <t>Renault</t>
        </is>
      </c>
      <c r="F53" s="2" t="inlineStr">
        <is>
          <t>ماموت خودرو</t>
        </is>
      </c>
      <c r="G53" s="2" t="inlineStr">
        <is>
          <t>فروش فوری رنو گرند کولئوس ۲۰۲۶</t>
        </is>
      </c>
      <c r="H53" s="2" t="inlineStr">
        <is>
          <t>نامشخص</t>
        </is>
      </c>
      <c r="I53" s="2" t="inlineStr">
        <is>
          <t>تبدیل توجه نمایشگاهی به فروش</t>
        </is>
      </c>
      <c r="J53" s="2" t="inlineStr">
        <is>
          <t>خریداران شاسی‌بلند پرمیوم</t>
        </is>
      </c>
      <c r="K53" s="2" t="inlineStr">
        <is>
          <t>رنو گرند کولئوس (ساخت بوسان کره)</t>
        </is>
      </c>
      <c r="L53" s="3" t="n">
        <v>46285</v>
      </c>
      <c r="M53" s="3" t="n">
        <v>46288</v>
      </c>
      <c r="N53" s="2" t="inlineStr">
        <is>
          <t>۲۹ شهریور تا ۱ مهر ۱۴۰۵</t>
        </is>
      </c>
      <c r="O53" s="2" t="inlineStr">
        <is>
          <t>EV-136: شهریور ۱۴۰۵؛ EV-137: شهریور ۱۴۰۵؛ EV-138: مهر ۱۴۰۵</t>
        </is>
      </c>
      <c r="P53" s="2" t="inlineStr">
        <is>
          <t>سراسری (حضوری در نمایندگی‌ها)</t>
        </is>
      </c>
      <c r="Q53" s="2" t="inlineStr">
        <is>
          <t>نمایندگی؛ بخشنامه؛ رسانه</t>
        </is>
      </c>
      <c r="R53" s="2" t="inlineStr">
        <is>
          <t>نامشخص</t>
        </is>
      </c>
      <c r="S53" s="2" t="inlineStr">
        <is>
          <t>بخشنامه</t>
        </is>
      </c>
      <c r="T53" s="2" t="inlineStr">
        <is>
          <t>قیمت قطعی ۱۴.۹ میلیارد تومان؛ نقدی؛ تحویل ۳۰ روزه</t>
        </is>
      </c>
      <c r="U53" s="2" t="inlineStr">
        <is>
          <t>نامشخص</t>
        </is>
      </c>
      <c r="V53" s="2" t="inlineStr">
        <is>
          <t>EV-136;EV-137;EV-138</t>
        </is>
      </c>
      <c r="W53" s="4" t="inlineStr">
        <is>
          <t>https://www.eghtesadonline.com/fa/news/2164075/</t>
        </is>
      </c>
      <c r="X53" s="2" t="inlineStr">
        <is>
          <t>نامشخص</t>
        </is>
      </c>
      <c r="Y53" s="2" t="inlineStr">
        <is>
          <t>WebSearch — 2026-10-10</t>
        </is>
      </c>
      <c r="Z53" s="2" t="inlineStr">
        <is>
          <t>تأییدشده (چند منبع)</t>
        </is>
      </c>
      <c r="AA53" s="2" t="inlineStr">
        <is>
          <t>Medium</t>
        </is>
      </c>
      <c r="AB53" s="2" t="inlineStr">
        <is>
          <t>پوشش منفی رسانه‌ای درباره اختلاف قیمت با امارات (EV-138)</t>
        </is>
      </c>
      <c r="AC53" s="2" t="inlineStr">
        <is>
          <t>داده عمومی قابل اتکا پیدا نشد</t>
        </is>
      </c>
    </row>
    <row r="54">
      <c r="A54" s="2" t="inlineStr">
        <is>
          <t>CMP-052</t>
        </is>
      </c>
      <c r="B54" s="2" t="inlineStr">
        <is>
          <t>طرح فروش (فعالیت فروش؛ مرز با کمپین)</t>
        </is>
      </c>
      <c r="C54" s="2" t="inlineStr">
        <is>
          <t>3. فروش و جذب مشتری</t>
        </is>
      </c>
      <c r="D54" s="2" t="inlineStr">
        <is>
          <t>BR-026</t>
        </is>
      </c>
      <c r="E54" s="2" t="inlineStr">
        <is>
          <t>Nissan</t>
        </is>
      </c>
      <c r="F54" s="2" t="inlineStr">
        <is>
          <t>آرینا درایو (آرین موتور)</t>
        </is>
      </c>
      <c r="G54" s="2" t="inlineStr">
        <is>
          <t>فروش نیسان قشقایی آرینا درایو (تیر تا شهریور ۱۴۰۵)</t>
        </is>
      </c>
      <c r="H54" s="2" t="inlineStr">
        <is>
          <t>نامشخص</t>
        </is>
      </c>
      <c r="I54" s="2" t="inlineStr">
        <is>
          <t>فروش</t>
        </is>
      </c>
      <c r="J54" s="2" t="inlineStr">
        <is>
          <t>نامشخص</t>
        </is>
      </c>
      <c r="K54" s="2" t="inlineStr">
        <is>
          <t>نیسان قشقایی ۲۰۲۶ (تیپ Glory/Honor)</t>
        </is>
      </c>
      <c r="L54" s="2" t="inlineStr">
        <is>
          <t>نامشخص</t>
        </is>
      </c>
      <c r="M54" s="2" t="inlineStr">
        <is>
          <t>نامشخص</t>
        </is>
      </c>
      <c r="N54" s="2" t="inlineStr">
        <is>
          <t>تیر، مرداد (اتونوین) و شهریور ۱۴۰۵</t>
        </is>
      </c>
      <c r="O54" s="2" t="inlineStr">
        <is>
          <t>EV-146: شهریور ۱۴۰۵؛ EV-147: تیر ۱۴۰۵</t>
        </is>
      </c>
      <c r="P54" s="2" t="inlineStr">
        <is>
          <t>سراسری (sales.arinadrive.com)</t>
        </is>
      </c>
      <c r="Q54" s="2" t="inlineStr">
        <is>
          <t>سامانه فروش؛ اتونوین</t>
        </is>
      </c>
      <c r="R54" s="2" t="inlineStr">
        <is>
          <t>نامشخص</t>
        </is>
      </c>
      <c r="S54" s="2" t="inlineStr">
        <is>
          <t>بخشنامه</t>
        </is>
      </c>
      <c r="T54" s="2" t="inlineStr">
        <is>
          <t>شهریور: ۷.۵۸ میلیارد تومان، تحویل ۳۰ روزه؛ تیر: دومرحله‌ای/اقساطی</t>
        </is>
      </c>
      <c r="U54" s="2" t="inlineStr">
        <is>
          <t>نامشخص</t>
        </is>
      </c>
      <c r="V54" s="2" t="inlineStr">
        <is>
          <t>EV-146;EV-147</t>
        </is>
      </c>
      <c r="W54" s="4" t="inlineStr">
        <is>
          <t>https://gadgetnews.net/1204964/sales-terms-for-the-arina-drive-nissan-qashqai-at-the-new-price-shahrivar-1405/</t>
        </is>
      </c>
      <c r="X54" s="2" t="inlineStr">
        <is>
          <t>نامشخص</t>
        </is>
      </c>
      <c r="Y54" s="2" t="inlineStr">
        <is>
          <t>WebSearch — 2026-10-10</t>
        </is>
      </c>
      <c r="Z54" s="2" t="inlineStr">
        <is>
          <t>نیازمند تأیید</t>
        </is>
      </c>
      <c r="AA54" s="2" t="inlineStr">
        <is>
          <t>Medium</t>
        </is>
      </c>
      <c r="AB54" s="2" t="inlineStr">
        <is>
          <t>این قشقایی از کانال عرضه دیگری غیر از نامی خودرو است؛ تفاوت نسخه‌ها نیازمند تأیید</t>
        </is>
      </c>
      <c r="AC54" s="2" t="inlineStr">
        <is>
          <t>داده عمومی قابل اتکا پیدا نشد</t>
        </is>
      </c>
    </row>
    <row r="55">
      <c r="A55" s="2" t="inlineStr">
        <is>
          <t>CMP-053</t>
        </is>
      </c>
      <c r="B55" s="2" t="inlineStr">
        <is>
          <t>طرح فروش (فعالیت فروش؛ مرز با کمپین)</t>
        </is>
      </c>
      <c r="C55" s="2" t="inlineStr">
        <is>
          <t>3. فروش و جذب مشتری</t>
        </is>
      </c>
      <c r="D55" s="2" t="inlineStr">
        <is>
          <t>BR-011;BR-012</t>
        </is>
      </c>
      <c r="E55" s="2" t="inlineStr">
        <is>
          <t>Hyundai؛ Kia</t>
        </is>
      </c>
      <c r="F55" s="2" t="inlineStr">
        <is>
          <t>هرمس خودرو</t>
        </is>
      </c>
      <c r="G55" s="2" t="inlineStr">
        <is>
          <t>طرح‌های فروش کیا و هیوندای هرمس خودرو (۱۴۰۵)</t>
        </is>
      </c>
      <c r="H55" s="2" t="inlineStr">
        <is>
          <t>نامشخص</t>
        </is>
      </c>
      <c r="I55" s="2" t="inlineStr">
        <is>
          <t>فروش</t>
        </is>
      </c>
      <c r="J55" s="2" t="inlineStr">
        <is>
          <t>نامشخص</t>
        </is>
      </c>
      <c r="K55" s="2" t="inlineStr">
        <is>
          <t>کیا K4، K3، استونیک، سلتوس ۲۰۲۶، سورنتو؛ هیوندای سوناتا، توسان L</t>
        </is>
      </c>
      <c r="L55" s="2" t="inlineStr">
        <is>
          <t>نامشخص</t>
        </is>
      </c>
      <c r="M55" s="2" t="inlineStr">
        <is>
          <t>نامشخص</t>
        </is>
      </c>
      <c r="N55" s="2" t="inlineStr">
        <is>
          <t>فروردین تا مهر ۱۴۰۵ (سلتوس در اتونوین از ۱ مهر)</t>
        </is>
      </c>
      <c r="O55" s="2" t="inlineStr">
        <is>
          <t>EV-148: شهریور ۱۴۰۵؛ EV-149: اردیبهشت ۱۴۰۵؛ EV-150: ۱۴۰۵</t>
        </is>
      </c>
      <c r="P55" s="2" t="inlineStr">
        <is>
          <t>سراسری</t>
        </is>
      </c>
      <c r="Q55" s="2" t="inlineStr">
        <is>
          <t>نمایندگی؛ اتونوین</t>
        </is>
      </c>
      <c r="R55" s="2" t="inlineStr">
        <is>
          <t>نامشخص</t>
        </is>
      </c>
      <c r="S55" s="2" t="inlineStr">
        <is>
          <t>بخشنامه</t>
        </is>
      </c>
      <c r="T55" s="2" t="inlineStr">
        <is>
          <t>K4: قیمت قطعی، تحویل ۹۰ روزه؛ افزایش قیمت اردیبهشت</t>
        </is>
      </c>
      <c r="U55" s="2" t="inlineStr">
        <is>
          <t>نامشخص</t>
        </is>
      </c>
      <c r="V55" s="2" t="inlineStr">
        <is>
          <t>EV-148;EV-149;EV-150</t>
        </is>
      </c>
      <c r="W55" s="4" t="inlineStr">
        <is>
          <t>https://digiato.com/price-terms-of-sale-car/kia-k3-and-kia-stonic-sales-conditions-published-september-1405</t>
        </is>
      </c>
      <c r="X55" s="2" t="inlineStr">
        <is>
          <t>نامشخص</t>
        </is>
      </c>
      <c r="Y55" s="2" t="inlineStr">
        <is>
          <t>WebSearch — 2026-10-10</t>
        </is>
      </c>
      <c r="Z55" s="2" t="inlineStr">
        <is>
          <t>نیازمند تأیید</t>
        </is>
      </c>
      <c r="AA55" s="2" t="inlineStr">
        <is>
          <t>Low</t>
        </is>
      </c>
      <c r="AB55" s="2" t="inlineStr">
        <is>
          <t>قیمت‌ها در منابع متناقض</t>
        </is>
      </c>
      <c r="AC55" s="2" t="inlineStr">
        <is>
          <t>داده عمومی قابل اتکا پیدا نشد</t>
        </is>
      </c>
    </row>
  </sheetData>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 xmlns:r="http://schemas.openxmlformats.org/officeDocument/2006/relationships" ref="W16" r:id="rId15"/>
    <hyperlink xmlns:r="http://schemas.openxmlformats.org/officeDocument/2006/relationships" ref="W17" r:id="rId16"/>
    <hyperlink xmlns:r="http://schemas.openxmlformats.org/officeDocument/2006/relationships" ref="W18" r:id="rId17"/>
    <hyperlink xmlns:r="http://schemas.openxmlformats.org/officeDocument/2006/relationships" ref="W19" r:id="rId18"/>
    <hyperlink xmlns:r="http://schemas.openxmlformats.org/officeDocument/2006/relationships" ref="W20" r:id="rId19"/>
    <hyperlink xmlns:r="http://schemas.openxmlformats.org/officeDocument/2006/relationships" ref="W21" r:id="rId20"/>
    <hyperlink xmlns:r="http://schemas.openxmlformats.org/officeDocument/2006/relationships" ref="W22" r:id="rId21"/>
    <hyperlink xmlns:r="http://schemas.openxmlformats.org/officeDocument/2006/relationships" ref="W23" r:id="rId22"/>
    <hyperlink xmlns:r="http://schemas.openxmlformats.org/officeDocument/2006/relationships" ref="W24" r:id="rId23"/>
    <hyperlink xmlns:r="http://schemas.openxmlformats.org/officeDocument/2006/relationships" ref="W25" r:id="rId24"/>
    <hyperlink xmlns:r="http://schemas.openxmlformats.org/officeDocument/2006/relationships" ref="W26" r:id="rId25"/>
    <hyperlink xmlns:r="http://schemas.openxmlformats.org/officeDocument/2006/relationships" ref="W27" r:id="rId26"/>
    <hyperlink xmlns:r="http://schemas.openxmlformats.org/officeDocument/2006/relationships" ref="W28" r:id="rId27"/>
    <hyperlink xmlns:r="http://schemas.openxmlformats.org/officeDocument/2006/relationships" ref="W29" r:id="rId28"/>
    <hyperlink xmlns:r="http://schemas.openxmlformats.org/officeDocument/2006/relationships" ref="W30" r:id="rId29"/>
    <hyperlink xmlns:r="http://schemas.openxmlformats.org/officeDocument/2006/relationships" ref="W31" r:id="rId30"/>
    <hyperlink xmlns:r="http://schemas.openxmlformats.org/officeDocument/2006/relationships" ref="W32" r:id="rId31"/>
    <hyperlink xmlns:r="http://schemas.openxmlformats.org/officeDocument/2006/relationships" ref="W33" r:id="rId32"/>
    <hyperlink xmlns:r="http://schemas.openxmlformats.org/officeDocument/2006/relationships" ref="W34" r:id="rId33"/>
    <hyperlink xmlns:r="http://schemas.openxmlformats.org/officeDocument/2006/relationships" ref="W35" r:id="rId34"/>
    <hyperlink xmlns:r="http://schemas.openxmlformats.org/officeDocument/2006/relationships" ref="W36" r:id="rId35"/>
    <hyperlink xmlns:r="http://schemas.openxmlformats.org/officeDocument/2006/relationships" ref="W37" r:id="rId36"/>
    <hyperlink xmlns:r="http://schemas.openxmlformats.org/officeDocument/2006/relationships" ref="W38" r:id="rId37"/>
    <hyperlink xmlns:r="http://schemas.openxmlformats.org/officeDocument/2006/relationships" ref="W39" r:id="rId38"/>
    <hyperlink xmlns:r="http://schemas.openxmlformats.org/officeDocument/2006/relationships" ref="W40" r:id="rId39"/>
    <hyperlink xmlns:r="http://schemas.openxmlformats.org/officeDocument/2006/relationships" ref="W41" r:id="rId40"/>
    <hyperlink xmlns:r="http://schemas.openxmlformats.org/officeDocument/2006/relationships" ref="W42" r:id="rId41"/>
    <hyperlink xmlns:r="http://schemas.openxmlformats.org/officeDocument/2006/relationships" ref="W43" r:id="rId42"/>
    <hyperlink xmlns:r="http://schemas.openxmlformats.org/officeDocument/2006/relationships" ref="W44" r:id="rId43"/>
    <hyperlink xmlns:r="http://schemas.openxmlformats.org/officeDocument/2006/relationships" ref="W45" r:id="rId44"/>
    <hyperlink xmlns:r="http://schemas.openxmlformats.org/officeDocument/2006/relationships" ref="W46" r:id="rId45"/>
    <hyperlink xmlns:r="http://schemas.openxmlformats.org/officeDocument/2006/relationships" ref="W47" r:id="rId46"/>
    <hyperlink xmlns:r="http://schemas.openxmlformats.org/officeDocument/2006/relationships" ref="W48" r:id="rId47"/>
    <hyperlink xmlns:r="http://schemas.openxmlformats.org/officeDocument/2006/relationships" ref="W49" r:id="rId48"/>
    <hyperlink xmlns:r="http://schemas.openxmlformats.org/officeDocument/2006/relationships" ref="W50" r:id="rId49"/>
    <hyperlink xmlns:r="http://schemas.openxmlformats.org/officeDocument/2006/relationships" ref="W51" r:id="rId50"/>
    <hyperlink xmlns:r="http://schemas.openxmlformats.org/officeDocument/2006/relationships" ref="W52" r:id="rId51"/>
    <hyperlink xmlns:r="http://schemas.openxmlformats.org/officeDocument/2006/relationships" ref="W53" r:id="rId52"/>
    <hyperlink xmlns:r="http://schemas.openxmlformats.org/officeDocument/2006/relationships" ref="W54" r:id="rId53"/>
    <hyperlink xmlns:r="http://schemas.openxmlformats.org/officeDocument/2006/relationships" ref="W55" r:id="rId54"/>
  </hyperlinks>
  <pageMargins left="0.75" right="0.75" top="1" bottom="1" header="0.5" footer="0.5"/>
  <tableParts count="1">
    <tablePart xmlns:r="http://schemas.openxmlformats.org/officeDocument/2006/relationships" r:id="rId55"/>
  </tableParts>
</worksheet>
</file>

<file path=xl/worksheets/sheet4.xml><?xml version="1.0" encoding="utf-8"?>
<worksheet xmlns="http://schemas.openxmlformats.org/spreadsheetml/2006/main">
  <sheetPr>
    <outlinePr summaryBelow="1" summaryRight="1"/>
    <pageSetUpPr/>
  </sheetPr>
  <dimension ref="A1:J103"/>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50" customWidth="1" min="3" max="3"/>
    <col width="18" customWidth="1" min="4" max="4"/>
    <col width="20" customWidth="1" min="5" max="5"/>
    <col width="12" customWidth="1" min="6" max="6"/>
    <col width="50" customWidth="1" min="7" max="7"/>
    <col width="22" customWidth="1" min="8" max="8"/>
    <col width="26" customWidth="1" min="9" max="9"/>
    <col width="8" customWidth="1" min="10" max="10"/>
  </cols>
  <sheetData>
    <row r="1" ht="36" customHeight="1">
      <c r="A1" s="1" t="inlineStr">
        <is>
          <t>Evidence_ID</t>
        </is>
      </c>
      <c r="B1" s="1" t="inlineStr">
        <is>
          <t>رسانه/منبع</t>
        </is>
      </c>
      <c r="C1" s="1" t="inlineStr">
        <is>
          <t>URL</t>
        </is>
      </c>
      <c r="D1" s="1" t="inlineStr">
        <is>
          <t>نوع منبع</t>
        </is>
      </c>
      <c r="E1" s="1" t="inlineStr">
        <is>
          <t>تاریخ انتشار (طبق نتیجه)</t>
        </is>
      </c>
      <c r="F1" s="1" t="inlineStr">
        <is>
          <t>تاریخ دسترسی</t>
        </is>
      </c>
      <c r="G1" s="1" t="inlineStr">
        <is>
          <t>ادعای پشتیبانی‌شده</t>
        </is>
      </c>
      <c r="H1" s="1" t="inlineStr">
        <is>
          <t>رکوردهای مرتبط</t>
        </is>
      </c>
      <c r="I1" s="1" t="inlineStr">
        <is>
          <t>روش دسترسی</t>
        </is>
      </c>
      <c r="J1" s="1" t="inlineStr">
        <is>
          <t>فاز</t>
        </is>
      </c>
    </row>
    <row r="2">
      <c r="A2" s="2" t="inlineStr">
        <is>
          <t>EV-001</t>
        </is>
      </c>
      <c r="B2" s="2" t="inlineStr">
        <is>
          <t>آیمارکتور</t>
        </is>
      </c>
      <c r="C2" s="4" t="inlineStr">
        <is>
          <t>https://www.imarketor.com/advertising-industry-iran-1404/</t>
        </is>
      </c>
      <c r="D2" s="2" t="inlineStr">
        <is>
          <t>رسانه تخصصی تبلیغات</t>
        </is>
      </c>
      <c r="E2" s="2" t="inlineStr">
        <is>
          <t>پس از دی ۱۴۰۴ (طبق عنوان)</t>
        </is>
      </c>
      <c r="F2" s="3" t="n">
        <v>46305</v>
      </c>
      <c r="G2" s="2" t="inlineStr">
        <is>
          <t>تحلیل صنعت تبلیغات پس از دی ۱۴۰۴: «تبلیغات محیطی و سوشال به کما رفتند» (فقط عنوان دیده شد)</t>
        </is>
      </c>
      <c r="H2" s="2" t="inlineStr">
        <is>
          <t>زمینه‌ای (روش‌شناسی)</t>
        </is>
      </c>
      <c r="I2" s="2" t="inlineStr">
        <is>
          <t>خلاصه نتیجه جست‌وجو (صفحه مستقیم باز نشد)</t>
        </is>
      </c>
      <c r="J2" s="2" t="inlineStr">
        <is>
          <t>فاز ۱</t>
        </is>
      </c>
    </row>
    <row r="3">
      <c r="A3" s="2" t="inlineStr">
        <is>
          <t>EV-002</t>
        </is>
      </c>
      <c r="B3" s="2" t="inlineStr">
        <is>
          <t>همراه مکانیک (مجله)</t>
        </is>
      </c>
      <c r="C3" s="4" t="inlineStr">
        <is>
          <t>https://www.hamrah-mechanic.com/mag/iran-car-advertisement-analysis</t>
        </is>
      </c>
      <c r="D3" s="2" t="inlineStr">
        <is>
          <t>رسانه تخصصی خودرو</t>
        </is>
      </c>
      <c r="E3" s="2" t="inlineStr">
        <is>
          <t>نامشخص</t>
        </is>
      </c>
      <c r="F3" s="3" t="n">
        <v>46305</v>
      </c>
      <c r="G3" s="2" t="inlineStr">
        <is>
          <t>توقف تبلیغ خودرو در تلویزیون؛ محیطی، مکتوب و سایت تنها بسترهای باقی‌مانده</t>
        </is>
      </c>
      <c r="H3" s="2" t="inlineStr">
        <is>
          <t>زمینه‌ای (روش‌شناسی)</t>
        </is>
      </c>
      <c r="I3" s="2" t="inlineStr">
        <is>
          <t>خلاصه نتیجه جست‌وجو (صفحه مستقیم باز نشد)</t>
        </is>
      </c>
      <c r="J3" s="2" t="inlineStr">
        <is>
          <t>فاز ۱</t>
        </is>
      </c>
    </row>
    <row r="4">
      <c r="A4" s="2" t="inlineStr">
        <is>
          <t>EV-003</t>
        </is>
      </c>
      <c r="B4" s="2" t="inlineStr">
        <is>
          <t>گجت‌نیوز</t>
        </is>
      </c>
      <c r="C4" s="4" t="inlineStr">
        <is>
          <t>https://gadgetnews.net/1205047/the-7th-tehran-auto-show-opened-at-shahr-e-aftab/</t>
        </is>
      </c>
      <c r="D4" s="2" t="inlineStr">
        <is>
          <t>رسانه تخصصی خودرو</t>
        </is>
      </c>
      <c r="E4" s="2" t="inlineStr">
        <is>
          <t>شهریور ۱۴۰۵</t>
        </is>
      </c>
      <c r="F4" s="3" t="n">
        <v>46305</v>
      </c>
      <c r="G4" s="2" t="inlineStr">
        <is>
          <t>افتتاح هفتمین نمایشگاه خودرو تهران در شهر آفتاب (۲۲ شهریور ۱۴۰۵)</t>
        </is>
      </c>
      <c r="H4" s="2" t="inlineStr">
        <is>
          <t>CMP-011</t>
        </is>
      </c>
      <c r="I4" s="2" t="inlineStr">
        <is>
          <t>خلاصه نتیجه جست‌وجو (صفحه مستقیم باز نشد)</t>
        </is>
      </c>
      <c r="J4" s="2" t="inlineStr">
        <is>
          <t>فاز ۱</t>
        </is>
      </c>
    </row>
    <row r="5">
      <c r="A5" s="2" t="inlineStr">
        <is>
          <t>EV-004</t>
        </is>
      </c>
      <c r="B5" s="2" t="inlineStr">
        <is>
          <t>اقتصادآنلاین</t>
        </is>
      </c>
      <c r="C5" s="4" t="inlineStr">
        <is>
          <t>https://www.eghtesadonline.com/fa/news/2157604/</t>
        </is>
      </c>
      <c r="D5" s="2" t="inlineStr">
        <is>
          <t>رسانه اقتصادی</t>
        </is>
      </c>
      <c r="E5" s="2" t="inlineStr">
        <is>
          <t>شهریور ۱۴۰۵</t>
        </is>
      </c>
      <c r="F5" s="3" t="n">
        <v>46305</v>
      </c>
      <c r="G5" s="2" t="inlineStr">
        <is>
          <t>تاریخ ۲۳ تا ۲۶ شهریور ۱۴۰۵ و فهرست اولیه ۲۵ شرکت حاضر</t>
        </is>
      </c>
      <c r="H5" s="2" t="inlineStr">
        <is>
          <t>CMP-011;CMP-028</t>
        </is>
      </c>
      <c r="I5" s="2" t="inlineStr">
        <is>
          <t>خلاصه نتیجه جست‌وجو (صفحه مستقیم باز نشد)</t>
        </is>
      </c>
      <c r="J5" s="2" t="inlineStr">
        <is>
          <t>فاز ۱</t>
        </is>
      </c>
    </row>
    <row r="6">
      <c r="A6" s="2" t="inlineStr">
        <is>
          <t>EV-005</t>
        </is>
      </c>
      <c r="B6" s="2" t="inlineStr">
        <is>
          <t>باما</t>
        </is>
      </c>
      <c r="C6" s="4" t="inlineStr">
        <is>
          <t>https://bama.ir/news/29764/</t>
        </is>
      </c>
      <c r="D6" s="2" t="inlineStr">
        <is>
          <t>رسانه تخصصی خودرو</t>
        </is>
      </c>
      <c r="E6" s="2" t="inlineStr">
        <is>
          <t>۱۴۰۵</t>
        </is>
      </c>
      <c r="F6" s="3" t="n">
        <v>46305</v>
      </c>
      <c r="G6" s="2" t="inlineStr">
        <is>
          <t>تعویق نمایشگاه از بهمن ۱۴۰۴ به شهریور ۱۴۰۵ به دلیل شرایط کشور؛ حضور برندهای خارجی</t>
        </is>
      </c>
      <c r="H6" s="2" t="inlineStr">
        <is>
          <t>BR-037</t>
        </is>
      </c>
      <c r="I6" s="2" t="inlineStr">
        <is>
          <t>خلاصه نتیجه جست‌وجو (صفحه مستقیم باز نشد)</t>
        </is>
      </c>
      <c r="J6" s="2" t="inlineStr">
        <is>
          <t>فاز ۱</t>
        </is>
      </c>
    </row>
    <row r="7">
      <c r="A7" s="2" t="inlineStr">
        <is>
          <t>EV-006</t>
        </is>
      </c>
      <c r="B7" s="2" t="inlineStr">
        <is>
          <t>صنعت ماشین</t>
        </is>
      </c>
      <c r="C7" s="4" t="inlineStr">
        <is>
          <t>https://sanatemashin.com/fa/news/69964/</t>
        </is>
      </c>
      <c r="D7" s="2" t="inlineStr">
        <is>
          <t>رسانه تخصصی خودرو</t>
        </is>
      </c>
      <c r="E7" s="2" t="inlineStr">
        <is>
          <t>شهریور ۱۴۰۵</t>
        </is>
      </c>
      <c r="F7" s="3" t="n">
        <v>46305</v>
      </c>
      <c r="G7" s="2" t="inlineStr">
        <is>
          <t>افتتاح نمایشگاه و اسامی شرکت‌ها</t>
        </is>
      </c>
      <c r="H7" s="2" t="inlineStr">
        <is>
          <t>زمینه‌ای (روش‌شناسی)</t>
        </is>
      </c>
      <c r="I7" s="2" t="inlineStr">
        <is>
          <t>خلاصه نتیجه جست‌وجو (صفحه مستقیم باز نشد)</t>
        </is>
      </c>
      <c r="J7" s="2" t="inlineStr">
        <is>
          <t>فاز ۱</t>
        </is>
      </c>
    </row>
    <row r="8">
      <c r="A8" s="2" t="inlineStr">
        <is>
          <t>EV-010</t>
        </is>
      </c>
      <c r="B8" s="2" t="inlineStr">
        <is>
          <t>پدال</t>
        </is>
      </c>
      <c r="C8" s="4" t="inlineStr">
        <is>
          <t>https://www.pedal.ir/autoshow/741792-esfahan-auto-show-1404/</t>
        </is>
      </c>
      <c r="D8" s="2" t="inlineStr">
        <is>
          <t>رسانه تخصصی خودرو</t>
        </is>
      </c>
      <c r="E8" s="2" t="inlineStr">
        <is>
          <t>آبان ۱۴۰۴</t>
        </is>
      </c>
      <c r="F8" s="3" t="n">
        <v>46305</v>
      </c>
      <c r="G8" s="2" t="inlineStr">
        <is>
          <t>نمایشگاه اصفهان ۱-۴ آبان ۱۴۰۴؛ بازگشت ایران خودرو؛ غیبت سایپا، مدیران و کرمان موتور</t>
        </is>
      </c>
      <c r="H8" s="2" t="inlineStr">
        <is>
          <t>CMP-001;CMP-002</t>
        </is>
      </c>
      <c r="I8" s="2" t="inlineStr">
        <is>
          <t>خلاصه نتیجه جست‌وجو (صفحه مستقیم باز نشد)</t>
        </is>
      </c>
      <c r="J8" s="2" t="inlineStr">
        <is>
          <t>فاز ۱</t>
        </is>
      </c>
    </row>
    <row r="9">
      <c r="A9" s="2" t="inlineStr">
        <is>
          <t>EV-011</t>
        </is>
      </c>
      <c r="B9" s="2" t="inlineStr">
        <is>
          <t>عصر ایران</t>
        </is>
      </c>
      <c r="C9" s="4" t="inlineStr">
        <is>
          <t>https://www.asriran.com/fa/news/1104740/</t>
        </is>
      </c>
      <c r="D9" s="2" t="inlineStr">
        <is>
          <t>خبرگزاری/سایت خبری</t>
        </is>
      </c>
      <c r="E9" s="2" t="inlineStr">
        <is>
          <t>مهر ۱۴۰۴</t>
        </is>
      </c>
      <c r="F9" s="3" t="n">
        <v>46305</v>
      </c>
      <c r="G9" s="2" t="inlineStr">
        <is>
          <t>برپایی نوزدهمین نمایشگاه تخصصی خودرو اصفهان</t>
        </is>
      </c>
      <c r="H9" s="2" t="inlineStr">
        <is>
          <t>CMP-001</t>
        </is>
      </c>
      <c r="I9" s="2" t="inlineStr">
        <is>
          <t>خلاصه نتیجه جست‌وجو (صفحه مستقیم باز نشد)</t>
        </is>
      </c>
      <c r="J9" s="2" t="inlineStr">
        <is>
          <t>فاز ۱</t>
        </is>
      </c>
    </row>
    <row r="10">
      <c r="A10" s="2" t="inlineStr">
        <is>
          <t>EV-020</t>
        </is>
      </c>
      <c r="B10" s="2" t="inlineStr">
        <is>
          <t>اقتصادآنلاین</t>
        </is>
      </c>
      <c r="C10" s="4" t="inlineStr">
        <is>
          <t>https://www.eghtesadonline.com/fa/news/2163052/</t>
        </is>
      </c>
      <c r="D10" s="2" t="inlineStr">
        <is>
          <t>رسانه اقتصادی</t>
        </is>
      </c>
      <c r="E10" s="2" t="inlineStr">
        <is>
          <t>شهریور ۱۴۰۵</t>
        </is>
      </c>
      <c r="F10" s="3" t="n">
        <v>46305</v>
      </c>
      <c r="G10" s="2" t="inlineStr">
        <is>
          <t>سبد محصولات ایران خودرو در نمایشگاه تهران (سفیر R7، ری‌را، تارا توربو، مرسدس A200L/C200L و تجاری‌ها) و تست‌درایو</t>
        </is>
      </c>
      <c r="H10" s="2" t="inlineStr">
        <is>
          <t>CMP-011;BR-001;BR-031</t>
        </is>
      </c>
      <c r="I10" s="2" t="inlineStr">
        <is>
          <t>خلاصه نتیجه جست‌وجو (صفحه مستقیم باز نشد)</t>
        </is>
      </c>
      <c r="J10" s="2" t="inlineStr">
        <is>
          <t>فاز ۱</t>
        </is>
      </c>
    </row>
    <row r="11">
      <c r="A11" s="2" t="inlineStr">
        <is>
          <t>EV-021</t>
        </is>
      </c>
      <c r="B11" s="2" t="inlineStr">
        <is>
          <t>آخرین خودرو</t>
        </is>
      </c>
      <c r="C11" s="4" t="inlineStr">
        <is>
          <t>https://akharinkhodro.ir/car-news/domestic-car/iran-khodro-tehran-auto-show-lineup-rira-to-benz/</t>
        </is>
      </c>
      <c r="D11" s="2" t="inlineStr">
        <is>
          <t>رسانه تخصصی خودرو</t>
        </is>
      </c>
      <c r="E11" s="2" t="inlineStr">
        <is>
          <t>شهریور ۱۴۰۵</t>
        </is>
      </c>
      <c r="F11" s="3" t="n">
        <v>46305</v>
      </c>
      <c r="G11" s="2" t="inlineStr">
        <is>
          <t>فهرست محصولات ایران خودرو برای نمایشگاه تهران؛ از ری‌را تا بنز</t>
        </is>
      </c>
      <c r="H11" s="2" t="inlineStr">
        <is>
          <t>CMP-011;BR-001</t>
        </is>
      </c>
      <c r="I11" s="2" t="inlineStr">
        <is>
          <t>خلاصه نتیجه جست‌وجو (صفحه مستقیم باز نشد)</t>
        </is>
      </c>
      <c r="J11" s="2" t="inlineStr">
        <is>
          <t>فاز ۱</t>
        </is>
      </c>
    </row>
    <row r="12">
      <c r="A12" s="2" t="inlineStr">
        <is>
          <t>EV-022</t>
        </is>
      </c>
      <c r="B12" s="2" t="inlineStr">
        <is>
          <t>فرارو</t>
        </is>
      </c>
      <c r="C12" s="4" t="inlineStr">
        <is>
          <t>https://fararu.com/fa/news/996573/</t>
        </is>
      </c>
      <c r="D12" s="2" t="inlineStr">
        <is>
          <t>سایت خبری</t>
        </is>
      </c>
      <c r="E12" s="2" t="inlineStr">
        <is>
          <t>شهریور ۱۴۰۵</t>
        </is>
      </c>
      <c r="F12" s="3" t="n">
        <v>46305</v>
      </c>
      <c r="G12" s="2" t="inlineStr">
        <is>
          <t>فروش فوری تارا، دناپلاس و سورن</t>
        </is>
      </c>
      <c r="H12" s="2" t="inlineStr">
        <is>
          <t>CMP-012;BR-001</t>
        </is>
      </c>
      <c r="I12" s="2" t="inlineStr">
        <is>
          <t>خلاصه نتیجه جست‌وجو (صفحه مستقیم باز نشد)</t>
        </is>
      </c>
      <c r="J12" s="2" t="inlineStr">
        <is>
          <t>فاز ۱</t>
        </is>
      </c>
    </row>
    <row r="13">
      <c r="A13" s="2" t="inlineStr">
        <is>
          <t>EV-023</t>
        </is>
      </c>
      <c r="B13" s="2" t="inlineStr">
        <is>
          <t>آخرین خبر</t>
        </is>
      </c>
      <c r="C13" s="4" t="inlineStr">
        <is>
          <t>https://akharinkhabar.ir/cars/10999585/</t>
        </is>
      </c>
      <c r="D13" s="2" t="inlineStr">
        <is>
          <t>سایت خبری</t>
        </is>
      </c>
      <c r="E13" s="2" t="inlineStr">
        <is>
          <t>شهریور ۱۴۰۵</t>
        </is>
      </c>
      <c r="F13" s="3" t="n">
        <v>46305</v>
      </c>
      <c r="G13" s="2" t="inlineStr">
        <is>
          <t>شرایط فروش ۸ محصول ایران خودرو با تحویل ۳۰ روزه</t>
        </is>
      </c>
      <c r="H13" s="2" t="inlineStr">
        <is>
          <t>CMP-012</t>
        </is>
      </c>
      <c r="I13" s="2" t="inlineStr">
        <is>
          <t>خلاصه نتیجه جست‌وجو (صفحه مستقیم باز نشد)</t>
        </is>
      </c>
      <c r="J13" s="2" t="inlineStr">
        <is>
          <t>فاز ۱</t>
        </is>
      </c>
    </row>
    <row r="14">
      <c r="A14" s="2" t="inlineStr">
        <is>
          <t>EV-024</t>
        </is>
      </c>
      <c r="B14" s="2" t="inlineStr">
        <is>
          <t>پدال</t>
        </is>
      </c>
      <c r="C14" s="4" t="inlineStr">
        <is>
          <t>https://www.pedal.ir/sales-plans/747371-iran-khodro-prices-sales-1405/</t>
        </is>
      </c>
      <c r="D14" s="2" t="inlineStr">
        <is>
          <t>رسانه تخصصی خودرو</t>
        </is>
      </c>
      <c r="E14" s="2" t="inlineStr">
        <is>
          <t>مهر ۱۴۰۵</t>
        </is>
      </c>
      <c r="F14" s="3" t="n">
        <v>46305</v>
      </c>
      <c r="G14" s="2" t="inlineStr">
        <is>
          <t>مرحله شانزدهم عرضه ایران خودرو؛ ۳۱ هزار دستگاه در سه گروه متقاضیان</t>
        </is>
      </c>
      <c r="H14" s="2" t="inlineStr">
        <is>
          <t>CMP-013;BR-001</t>
        </is>
      </c>
      <c r="I14" s="2" t="inlineStr">
        <is>
          <t>خلاصه نتیجه جست‌وجو (صفحه مستقیم باز نشد)</t>
        </is>
      </c>
      <c r="J14" s="2" t="inlineStr">
        <is>
          <t>فاز ۱</t>
        </is>
      </c>
    </row>
    <row r="15">
      <c r="A15" s="2" t="inlineStr">
        <is>
          <t>EV-025</t>
        </is>
      </c>
      <c r="B15" s="2" t="inlineStr">
        <is>
          <t>آخرین خبر</t>
        </is>
      </c>
      <c r="C15" s="4" t="inlineStr">
        <is>
          <t>https://akharinkhabar.ir/cars/10958837/</t>
        </is>
      </c>
      <c r="D15" s="2" t="inlineStr">
        <is>
          <t>سایت خبری</t>
        </is>
      </c>
      <c r="E15" s="2" t="inlineStr">
        <is>
          <t>نامشخص</t>
        </is>
      </c>
      <c r="F15" s="3" t="n">
        <v>46305</v>
      </c>
      <c r="G15" s="2" t="inlineStr">
        <is>
          <t>ورود سفیر R7 به شوروم ایکو پرمیوم ایران خودرو</t>
        </is>
      </c>
      <c r="H15" s="2" t="inlineStr">
        <is>
          <t>CMP-015;BR-002</t>
        </is>
      </c>
      <c r="I15" s="2" t="inlineStr">
        <is>
          <t>خلاصه نتیجه جست‌وجو (صفحه مستقیم باز نشد)</t>
        </is>
      </c>
      <c r="J15" s="2" t="inlineStr">
        <is>
          <t>فاز ۱</t>
        </is>
      </c>
    </row>
    <row r="16">
      <c r="A16" s="2" t="inlineStr">
        <is>
          <t>EV-026</t>
        </is>
      </c>
      <c r="B16" s="2" t="inlineStr">
        <is>
          <t>پدال</t>
        </is>
      </c>
      <c r="C16" s="4" t="inlineStr">
        <is>
          <t>https://www.pedal.ir/news/747217-shine-max-hybrid-iran-khodro/</t>
        </is>
      </c>
      <c r="D16" s="2" t="inlineStr">
        <is>
          <t>رسانه تخصصی خودرو</t>
        </is>
      </c>
      <c r="E16" s="2" t="inlineStr">
        <is>
          <t>مهر ۱۴۰۵ (تقریبی)</t>
        </is>
      </c>
      <c r="F16" s="3" t="n">
        <v>46305</v>
      </c>
      <c r="G16" s="2" t="inlineStr">
        <is>
          <t>تأیید عرضه دانگ‌فنگ شاین مکس هیبرید توسط ایران خودرو</t>
        </is>
      </c>
      <c r="H16" s="2" t="inlineStr">
        <is>
          <t>BR-024</t>
        </is>
      </c>
      <c r="I16" s="2" t="inlineStr">
        <is>
          <t>خلاصه نتیجه جست‌وجو (صفحه مستقیم باز نشد)</t>
        </is>
      </c>
      <c r="J16" s="2" t="inlineStr">
        <is>
          <t>فاز ۱</t>
        </is>
      </c>
    </row>
    <row r="17">
      <c r="A17" s="2" t="inlineStr">
        <is>
          <t>EV-027</t>
        </is>
      </c>
      <c r="B17" s="2" t="inlineStr">
        <is>
          <t>همراه مکانیک (مجله)</t>
        </is>
      </c>
      <c r="C17" s="4" t="inlineStr">
        <is>
          <t>https://www.hamrah-mechanic.com/mag/iran-khodro-recalls-peugeot-206-207-and-rana-heating-components/</t>
        </is>
      </c>
      <c r="D17" s="2" t="inlineStr">
        <is>
          <t>رسانه تخصصی خودرو</t>
        </is>
      </c>
      <c r="E17" s="2" t="inlineStr">
        <is>
          <t>۱۴۰۵</t>
        </is>
      </c>
      <c r="F17" s="3" t="n">
        <v>46305</v>
      </c>
      <c r="G17" s="2" t="inlineStr">
        <is>
          <t>فراخوان تعویض رایگان قطعه محافظ گرمایشی ۲۰۶، ۲۰۷ و رانا تا پایان تابستان ۱۴۰۵</t>
        </is>
      </c>
      <c r="H17" s="2" t="inlineStr">
        <is>
          <t>CMP-014</t>
        </is>
      </c>
      <c r="I17" s="2" t="inlineStr">
        <is>
          <t>خلاصه نتیجه جست‌وجو (صفحه مستقیم باز نشد)</t>
        </is>
      </c>
      <c r="J17" s="2" t="inlineStr">
        <is>
          <t>فاز ۱</t>
        </is>
      </c>
    </row>
    <row r="18">
      <c r="A18" s="2" t="inlineStr">
        <is>
          <t>EV-030</t>
        </is>
      </c>
      <c r="B18" s="2" t="inlineStr">
        <is>
          <t>عصر ایران</t>
        </is>
      </c>
      <c r="C18" s="4" t="inlineStr">
        <is>
          <t>https://www.asriran.com/fa/news/1124434/</t>
        </is>
      </c>
      <c r="D18" s="2" t="inlineStr">
        <is>
          <t>سایت خبری</t>
        </is>
      </c>
      <c r="E18" s="2" t="inlineStr">
        <is>
          <t>آذر ۱۴۰۴</t>
        </is>
      </c>
      <c r="F18" s="3" t="n">
        <v>46305</v>
      </c>
      <c r="G18" s="2" t="inlineStr">
        <is>
          <t>ثبت‌نام سایپا ویژه یلدا</t>
        </is>
      </c>
      <c r="H18" s="2" t="inlineStr">
        <is>
          <t>CMP-003;BR-003</t>
        </is>
      </c>
      <c r="I18" s="2" t="inlineStr">
        <is>
          <t>خلاصه نتیجه جست‌وجو (صفحه مستقیم باز نشد)</t>
        </is>
      </c>
      <c r="J18" s="2" t="inlineStr">
        <is>
          <t>فاز ۱</t>
        </is>
      </c>
    </row>
    <row r="19">
      <c r="A19" s="2" t="inlineStr">
        <is>
          <t>EV-031</t>
        </is>
      </c>
      <c r="B19" s="2" t="inlineStr">
        <is>
          <t>اقتصادآنلاین</t>
        </is>
      </c>
      <c r="C19" s="4" t="inlineStr">
        <is>
          <t>https://www.eghtesadonline.com/fa/news/2106978/</t>
        </is>
      </c>
      <c r="D19" s="2" t="inlineStr">
        <is>
          <t>رسانه اقتصادی</t>
        </is>
      </c>
      <c r="E19" s="2" t="inlineStr">
        <is>
          <t>آذر ۱۴۰۴</t>
        </is>
      </c>
      <c r="F19" s="3" t="n">
        <v>46305</v>
      </c>
      <c r="G19" s="2" t="inlineStr">
        <is>
          <t>پیش‌فروش یلدا ۱۴۰۴ سایپا بدون قرعه‌کشی؛ اطلس S و ساینا S؛ پیش‌پرداخت ۲۵۲ و ۳۵۶ میلیون تومان</t>
        </is>
      </c>
      <c r="H19" s="2" t="inlineStr">
        <is>
          <t>CMP-003;BR-003</t>
        </is>
      </c>
      <c r="I19" s="2" t="inlineStr">
        <is>
          <t>خلاصه نتیجه جست‌وجو (صفحه مستقیم باز نشد)</t>
        </is>
      </c>
      <c r="J19" s="2" t="inlineStr">
        <is>
          <t>فاز ۱</t>
        </is>
      </c>
    </row>
    <row r="20">
      <c r="A20" s="2" t="inlineStr">
        <is>
          <t>EV-032</t>
        </is>
      </c>
      <c r="B20" s="2" t="inlineStr">
        <is>
          <t>صدای بورس</t>
        </is>
      </c>
      <c r="C20" s="4" t="inlineStr">
        <is>
          <t>https://www.sedayebourse.ir/news/542671/</t>
        </is>
      </c>
      <c r="D20" s="2" t="inlineStr">
        <is>
          <t>رسانه اقتصادی</t>
        </is>
      </c>
      <c r="E20" s="2" t="inlineStr">
        <is>
          <t>آذر ۱۴۰۴</t>
        </is>
      </c>
      <c r="F20" s="3" t="n">
        <v>46305</v>
      </c>
      <c r="G20" s="2" t="inlineStr">
        <is>
          <t>جزئیات طرح فروش سایپا ویژه یلدا ۱۴۰۴ (آغاز ۳۰ آذر)</t>
        </is>
      </c>
      <c r="H20" s="2" t="inlineStr">
        <is>
          <t>CMP-003;BR-003</t>
        </is>
      </c>
      <c r="I20" s="2" t="inlineStr">
        <is>
          <t>خلاصه نتیجه جست‌وجو (صفحه مستقیم باز نشد)</t>
        </is>
      </c>
      <c r="J20" s="2" t="inlineStr">
        <is>
          <t>فاز ۱</t>
        </is>
      </c>
    </row>
    <row r="21">
      <c r="A21" s="2" t="inlineStr">
        <is>
          <t>EV-033</t>
        </is>
      </c>
      <c r="B21" s="2" t="inlineStr">
        <is>
          <t>شهرخبر</t>
        </is>
      </c>
      <c r="C21" s="4" t="inlineStr">
        <is>
          <t>https://www.shahrekhabar.com/news/177011802098795</t>
        </is>
      </c>
      <c r="D21" s="2" t="inlineStr">
        <is>
          <t>تجمیع‌کننده خبر</t>
        </is>
      </c>
      <c r="E21" s="2" t="inlineStr">
        <is>
          <t>بهمن ۱۴۰۴</t>
        </is>
      </c>
      <c r="F21" s="3" t="n">
        <v>46305</v>
      </c>
      <c r="G21" s="2" t="inlineStr">
        <is>
          <t>فروش فوری سایپا ویژه دهه فجر ۱۴۰۴ (وانت ۱۵۱)</t>
        </is>
      </c>
      <c r="H21" s="2" t="inlineStr">
        <is>
          <t>CMP-004</t>
        </is>
      </c>
      <c r="I21" s="2" t="inlineStr">
        <is>
          <t>خلاصه نتیجه جست‌وجو (صفحه مستقیم باز نشد)</t>
        </is>
      </c>
      <c r="J21" s="2" t="inlineStr">
        <is>
          <t>فاز ۱</t>
        </is>
      </c>
    </row>
    <row r="22">
      <c r="A22" s="2" t="inlineStr">
        <is>
          <t>EV-034</t>
        </is>
      </c>
      <c r="B22" s="2" t="inlineStr">
        <is>
          <t>نبض قیمت</t>
        </is>
      </c>
      <c r="C22" s="4" t="inlineStr">
        <is>
          <t>https://nabzgheymat.ir/%D9%BE%DB%8C%D8%B4-%D9%81%D8%B1%D9%88%D8%B4-%DA%86%D8%A7%D9%86%DA%AF%D8%A7%D9%86-441p-%D8%B3%D8%A7%DB%8C%D9%BE%D8%A7-%E2%94%82-%D9%85%D8%AA%D9%82%D8%A7%D8%B6%DB%8C%D8%A7%D9%86-%D8%AF%D8%B1-%D8%B7/</t>
        </is>
      </c>
      <c r="D22" s="2" t="inlineStr">
        <is>
          <t>سایت قیمت/خبر</t>
        </is>
      </c>
      <c r="E22" s="2" t="inlineStr">
        <is>
          <t>مهر ۱۴۰۵</t>
        </is>
      </c>
      <c r="F22" s="3" t="n">
        <v>46305</v>
      </c>
      <c r="G22" s="2" t="inlineStr">
        <is>
          <t>پیش‌فروش چانگان سایپا با قرعه‌کشی ۱۴-۱۶ مهر ۱۴۰۵؛ تحویل اسفند ۱۴۰۵</t>
        </is>
      </c>
      <c r="H22" s="2" t="inlineStr">
        <is>
          <t>CMP-008;BR-020</t>
        </is>
      </c>
      <c r="I22" s="2" t="inlineStr">
        <is>
          <t>خلاصه نتیجه جست‌وجو (صفحه مستقیم باز نشد)</t>
        </is>
      </c>
      <c r="J22" s="2" t="inlineStr">
        <is>
          <t>فاز ۱</t>
        </is>
      </c>
    </row>
    <row r="23">
      <c r="A23" s="2" t="inlineStr">
        <is>
          <t>EV-035</t>
        </is>
      </c>
      <c r="B23" s="2" t="inlineStr">
        <is>
          <t>نشان تجارت</t>
        </is>
      </c>
      <c r="C23" s="4" t="inlineStr">
        <is>
          <t>https://neshanetejarat.ir/fa/news/77453/</t>
        </is>
      </c>
      <c r="D23" s="2" t="inlineStr">
        <is>
          <t>رسانه اقتصادی</t>
        </is>
      </c>
      <c r="E23" s="2" t="inlineStr">
        <is>
          <t>شهریور ۱۴۰۵</t>
        </is>
      </c>
      <c r="F23" s="3" t="n">
        <v>46305</v>
      </c>
      <c r="G23" s="2" t="inlineStr">
        <is>
          <t>رونمایی سه محصول جدید سایپا و افتتاح خط تولید آریا با حضور وزیر صمت</t>
        </is>
      </c>
      <c r="H23" s="2" t="inlineStr">
        <is>
          <t>CMP-006;BR-003</t>
        </is>
      </c>
      <c r="I23" s="2" t="inlineStr">
        <is>
          <t>خلاصه نتیجه جست‌وجو (صفحه مستقیم باز نشد)</t>
        </is>
      </c>
      <c r="J23" s="2" t="inlineStr">
        <is>
          <t>فاز ۱</t>
        </is>
      </c>
    </row>
    <row r="24">
      <c r="A24" s="2" t="inlineStr">
        <is>
          <t>EV-036</t>
        </is>
      </c>
      <c r="B24" s="2" t="inlineStr">
        <is>
          <t>دیجیاتو</t>
        </is>
      </c>
      <c r="C24" s="4" t="inlineStr">
        <is>
          <t>https://digiato.com/price-terms-of-sale-car/saipa-publishes-conditions-for-sale-of-quick-and-citroen-c3-xr-august-2026</t>
        </is>
      </c>
      <c r="D24" s="2" t="inlineStr">
        <is>
          <t>رسانه فناوری/خودرو</t>
        </is>
      </c>
      <c r="E24" s="2" t="inlineStr">
        <is>
          <t>مرداد ۱۴۰۵</t>
        </is>
      </c>
      <c r="F24" s="3" t="n">
        <v>46305</v>
      </c>
      <c r="G24" s="2" t="inlineStr">
        <is>
          <t>فروش فوق‌العاده کوییک و سیتروئن C3-XR بدون قرعه‌کشی، تحویل ۹۰ روزه</t>
        </is>
      </c>
      <c r="H24" s="2" t="inlineStr">
        <is>
          <t>CMP-009;BR-023</t>
        </is>
      </c>
      <c r="I24" s="2" t="inlineStr">
        <is>
          <t>خلاصه نتیجه جست‌وجو (صفحه مستقیم باز نشد)</t>
        </is>
      </c>
      <c r="J24" s="2" t="inlineStr">
        <is>
          <t>فاز ۱</t>
        </is>
      </c>
    </row>
    <row r="25">
      <c r="A25" s="2" t="inlineStr">
        <is>
          <t>EV-037</t>
        </is>
      </c>
      <c r="B25" s="2" t="inlineStr">
        <is>
          <t>اقتصادآنلاین</t>
        </is>
      </c>
      <c r="C25" s="4" t="inlineStr">
        <is>
          <t>https://www.eghtesadonline.com/fa/news/2160528/</t>
        </is>
      </c>
      <c r="D25" s="2" t="inlineStr">
        <is>
          <t>رسانه اقتصادی</t>
        </is>
      </c>
      <c r="E25" s="2" t="inlineStr">
        <is>
          <t>شهریور ۱۴۰۵</t>
        </is>
      </c>
      <c r="F25" s="3" t="n">
        <v>46305</v>
      </c>
      <c r="G25" s="2" t="inlineStr">
        <is>
          <t>پیش‌فروش سایپا از ۱ شهریور ۱۴۰۵: آریا اتوماتیک، پارس نوآ، کوییک GX-L و S</t>
        </is>
      </c>
      <c r="H25" s="2" t="inlineStr">
        <is>
          <t>CMP-010;BR-004</t>
        </is>
      </c>
      <c r="I25" s="2" t="inlineStr">
        <is>
          <t>خلاصه نتیجه جست‌وجو (صفحه مستقیم باز نشد)</t>
        </is>
      </c>
      <c r="J25" s="2" t="inlineStr">
        <is>
          <t>فاز ۱</t>
        </is>
      </c>
    </row>
    <row r="26">
      <c r="A26" s="2" t="inlineStr">
        <is>
          <t>EV-038</t>
        </is>
      </c>
      <c r="B26" s="2" t="inlineStr">
        <is>
          <t>فرارو</t>
        </is>
      </c>
      <c r="C26" s="4" t="inlineStr">
        <is>
          <t>https://fararu.com/fa/news/1004437/</t>
        </is>
      </c>
      <c r="D26" s="2" t="inlineStr">
        <is>
          <t>سایت خبری</t>
        </is>
      </c>
      <c r="E26" s="2" t="inlineStr">
        <is>
          <t>مهر ۱۴۰۵</t>
        </is>
      </c>
      <c r="F26" s="3" t="n">
        <v>46305</v>
      </c>
      <c r="G26" s="2" t="inlineStr">
        <is>
          <t>معرفی آریانو در ۳۱ شهریور ۱۴۰۵ و نقد سابقه پیش‌فروش آریا</t>
        </is>
      </c>
      <c r="H26" s="2" t="inlineStr">
        <is>
          <t>CMP-006</t>
        </is>
      </c>
      <c r="I26" s="2" t="inlineStr">
        <is>
          <t>خلاصه نتیجه جست‌وجو (صفحه مستقیم باز نشد)</t>
        </is>
      </c>
      <c r="J26" s="2" t="inlineStr">
        <is>
          <t>فاز ۱</t>
        </is>
      </c>
    </row>
    <row r="27">
      <c r="A27" s="2" t="inlineStr">
        <is>
          <t>EV-039</t>
        </is>
      </c>
      <c r="B27" s="2" t="inlineStr">
        <is>
          <t>پارسینه</t>
        </is>
      </c>
      <c r="C27" s="4" t="inlineStr">
        <is>
          <t>https://www.parsine.com/%D8%A8%D8%AE%D8%B4-%D8%A7%D9%82%D8%AA%D8%B5%D8%A7%D8%AF%DB%8C-43/948944-</t>
        </is>
      </c>
      <c r="D27" s="2" t="inlineStr">
        <is>
          <t>سایت خبری</t>
        </is>
      </c>
      <c r="E27" s="2" t="inlineStr">
        <is>
          <t>آبان ۱۴۰۴</t>
        </is>
      </c>
      <c r="F27" s="3" t="n">
        <v>46305</v>
      </c>
      <c r="G27" s="2" t="inlineStr">
        <is>
          <t>ثبت‌نام سایپا ۱۵۱ ارتقایافته (GX) از ۱۰ آبان ۱۴۰۴</t>
        </is>
      </c>
      <c r="H27" s="2" t="inlineStr">
        <is>
          <t>CMP-005</t>
        </is>
      </c>
      <c r="I27" s="2" t="inlineStr">
        <is>
          <t>خلاصه نتیجه جست‌وجو (صفحه مستقیم باز نشد)</t>
        </is>
      </c>
      <c r="J27" s="2" t="inlineStr">
        <is>
          <t>فاز ۱</t>
        </is>
      </c>
    </row>
    <row r="28">
      <c r="A28" s="2" t="inlineStr">
        <is>
          <t>EV-040</t>
        </is>
      </c>
      <c r="B28" s="2" t="inlineStr">
        <is>
          <t>پرشین خودرو</t>
        </is>
      </c>
      <c r="C28" s="4" t="inlineStr">
        <is>
          <t>https://www.persiankhodro.com/news/150439/</t>
        </is>
      </c>
      <c r="D28" s="2" t="inlineStr">
        <is>
          <t>رسانه تخصصی خودرو</t>
        </is>
      </c>
      <c r="E28" s="2" t="inlineStr">
        <is>
          <t>مرداد ۱۴۰۵</t>
        </is>
      </c>
      <c r="F28" s="3" t="n">
        <v>46305</v>
      </c>
      <c r="G28" s="2" t="inlineStr">
        <is>
          <t>شروع فروش ۵ محصول ام‌وی‌ام و فونیکس؛ مرداد ۱۴۰۵</t>
        </is>
      </c>
      <c r="H28" s="2" t="inlineStr">
        <is>
          <t>CMP-018;BR-006;BR-007</t>
        </is>
      </c>
      <c r="I28" s="2" t="inlineStr">
        <is>
          <t>خلاصه نتیجه جست‌وجو (صفحه مستقیم باز نشد)</t>
        </is>
      </c>
      <c r="J28" s="2" t="inlineStr">
        <is>
          <t>فاز ۱</t>
        </is>
      </c>
    </row>
    <row r="29">
      <c r="A29" s="2" t="inlineStr">
        <is>
          <t>EV-041</t>
        </is>
      </c>
      <c r="B29" s="2" t="inlineStr">
        <is>
          <t>پرشین خودرو</t>
        </is>
      </c>
      <c r="C29" s="4" t="inlineStr">
        <is>
          <t>https://www.persiankhodro.com/news/150865/</t>
        </is>
      </c>
      <c r="D29" s="2" t="inlineStr">
        <is>
          <t>رسانه تخصصی خودرو</t>
        </is>
      </c>
      <c r="E29" s="2" t="inlineStr">
        <is>
          <t>شهریور ۱۴۰۵</t>
        </is>
      </c>
      <c r="F29" s="3" t="n">
        <v>46305</v>
      </c>
      <c r="G29" s="2" t="inlineStr">
        <is>
          <t>فروش نقدی مدیران خودرو بدون قرعه‌کشی با قیمت قطعی؛ MVM، فونیکس، اکستریم</t>
        </is>
      </c>
      <c r="H29" s="2" t="inlineStr">
        <is>
          <t>CMP-019;BR-006;BR-007;BR-008</t>
        </is>
      </c>
      <c r="I29" s="2" t="inlineStr">
        <is>
          <t>خلاصه نتیجه جست‌وجو (صفحه مستقیم باز نشد)</t>
        </is>
      </c>
      <c r="J29" s="2" t="inlineStr">
        <is>
          <t>فاز ۱</t>
        </is>
      </c>
    </row>
    <row r="30">
      <c r="A30" s="2" t="inlineStr">
        <is>
          <t>EV-042</t>
        </is>
      </c>
      <c r="B30" s="2" t="inlineStr">
        <is>
          <t>نواندیش</t>
        </is>
      </c>
      <c r="C30" s="4" t="inlineStr">
        <is>
          <t>https://noandish.com/fa/news/218321/</t>
        </is>
      </c>
      <c r="D30" s="2" t="inlineStr">
        <is>
          <t>سایت خبری</t>
        </is>
      </c>
      <c r="E30" s="2" t="inlineStr">
        <is>
          <t>مرداد ۱۴۰۵</t>
        </is>
      </c>
      <c r="F30" s="3" t="n">
        <v>46305</v>
      </c>
      <c r="G30" s="2" t="inlineStr">
        <is>
          <t>فروش فونیکس و ام‌وی‌ام با تحویل ۳۰ روزه</t>
        </is>
      </c>
      <c r="H30" s="2" t="inlineStr">
        <is>
          <t>CMP-018;BR-006</t>
        </is>
      </c>
      <c r="I30" s="2" t="inlineStr">
        <is>
          <t>خلاصه نتیجه جست‌وجو (صفحه مستقیم باز نشد)</t>
        </is>
      </c>
      <c r="J30" s="2" t="inlineStr">
        <is>
          <t>فاز ۱</t>
        </is>
      </c>
    </row>
    <row r="31">
      <c r="A31" s="2" t="inlineStr">
        <is>
          <t>EV-043</t>
        </is>
      </c>
      <c r="B31" s="2" t="inlineStr">
        <is>
          <t>پدال (بخش PR)</t>
        </is>
      </c>
      <c r="C31" s="4" t="inlineStr">
        <is>
          <t>https://www.pedal.ir/pr/741263-fownix-premium-brand-iran-cars/</t>
        </is>
      </c>
      <c r="D31" s="2" t="inlineStr">
        <is>
          <t>رپورتاژ/روابط عمومی</t>
        </is>
      </c>
      <c r="E31" s="2" t="inlineStr">
        <is>
          <t>حدود مهر/آبان ۱۴۰۴ (برآورد از شناسه مطلب؛ نیازمند تأیید)</t>
        </is>
      </c>
      <c r="F31" s="3" t="n">
        <v>46305</v>
      </c>
      <c r="G31" s="2" t="inlineStr">
        <is>
          <t>فونیکس، ققنوسی بر فراز بازار خودروی ایران (رپورتاژ برند)</t>
        </is>
      </c>
      <c r="H31" s="2" t="inlineStr">
        <is>
          <t>CMP-020;BR-007</t>
        </is>
      </c>
      <c r="I31" s="2" t="inlineStr">
        <is>
          <t>خلاصه نتیجه جست‌وجو (صفحه مستقیم باز نشد)</t>
        </is>
      </c>
      <c r="J31" s="2" t="inlineStr">
        <is>
          <t>فاز ۱</t>
        </is>
      </c>
    </row>
    <row r="32">
      <c r="A32" s="2" t="inlineStr">
        <is>
          <t>EV-044</t>
        </is>
      </c>
      <c r="B32" s="2" t="inlineStr">
        <is>
          <t>دیجیاتو (برچسب مدیران خودرو)</t>
        </is>
      </c>
      <c r="C32" s="4" t="inlineStr">
        <is>
          <t>https://digiato.com/label/mvm</t>
        </is>
      </c>
      <c r="D32" s="2" t="inlineStr">
        <is>
          <t>رسانه فناوری/خودرو</t>
        </is>
      </c>
      <c r="E32" s="2" t="inlineStr">
        <is>
          <t>آذر ۱۴۰۴ و ۱۴۰۵</t>
        </is>
      </c>
      <c r="F32" s="3" t="n">
        <v>46305</v>
      </c>
      <c r="G32" s="2" t="inlineStr">
        <is>
          <t>فروش F7 Pro Max (۲۹ آذر ۱۴۰۴)، X33 کراس (آذر ۱۴۰۴)، پیش‌فروش اکستریم (تیر ۱۴۰۵)</t>
        </is>
      </c>
      <c r="H32" s="2" t="inlineStr">
        <is>
          <t>CMP-016;CMP-017;BR-008</t>
        </is>
      </c>
      <c r="I32" s="2" t="inlineStr">
        <is>
          <t>خلاصه نتیجه جست‌وجو (صفحه مستقیم باز نشد)</t>
        </is>
      </c>
      <c r="J32" s="2" t="inlineStr">
        <is>
          <t>فاز ۱</t>
        </is>
      </c>
    </row>
    <row r="33">
      <c r="A33" s="2" t="inlineStr">
        <is>
          <t>EV-050</t>
        </is>
      </c>
      <c r="B33" s="2" t="inlineStr">
        <is>
          <t>صدای بورس</t>
        </is>
      </c>
      <c r="C33" s="4" t="inlineStr">
        <is>
          <t>https://www.sedayebourse.ir/news/540724/</t>
        </is>
      </c>
      <c r="D33" s="2" t="inlineStr">
        <is>
          <t>رسانه اقتصادی</t>
        </is>
      </c>
      <c r="E33" s="2" t="inlineStr">
        <is>
          <t>آذر ۱۴۰۴</t>
        </is>
      </c>
      <c r="F33" s="3" t="n">
        <v>46305</v>
      </c>
      <c r="G33" s="2" t="inlineStr">
        <is>
          <t>شرایط فروش و ثبت‌نام کرمان موتور (۱ آذر ۱۴۰۴)</t>
        </is>
      </c>
      <c r="H33" s="2" t="inlineStr">
        <is>
          <t>CMP-022;BR-009;BR-010</t>
        </is>
      </c>
      <c r="I33" s="2" t="inlineStr">
        <is>
          <t>خلاصه نتیجه جست‌وجو (صفحه مستقیم باز نشد)</t>
        </is>
      </c>
      <c r="J33" s="2" t="inlineStr">
        <is>
          <t>فاز ۱</t>
        </is>
      </c>
    </row>
    <row r="34">
      <c r="A34" s="2" t="inlineStr">
        <is>
          <t>EV-051</t>
        </is>
      </c>
      <c r="B34" s="2" t="inlineStr">
        <is>
          <t>دیجیاتو</t>
        </is>
      </c>
      <c r="C34" s="4" t="inlineStr">
        <is>
          <t>https://digiato.com/price-terms-of-sale-car/kerman-motor-pre-sale-conditions-began-with-five-products-december-1404</t>
        </is>
      </c>
      <c r="D34" s="2" t="inlineStr">
        <is>
          <t>رسانه فناوری/خودرو</t>
        </is>
      </c>
      <c r="E34" s="2" t="inlineStr">
        <is>
          <t>آذر ۱۴۰۴</t>
        </is>
      </c>
      <c r="F34" s="3" t="n">
        <v>46305</v>
      </c>
      <c r="G34" s="2" t="inlineStr">
        <is>
          <t>پیش‌فروش کرمان موتور با پنج محصول (۱-۱۵ آذر ۱۴۰۴، تحویل بهار ۱۴۰۵)</t>
        </is>
      </c>
      <c r="H34" s="2" t="inlineStr">
        <is>
          <t>CMP-022;BR-009</t>
        </is>
      </c>
      <c r="I34" s="2" t="inlineStr">
        <is>
          <t>خلاصه نتیجه جست‌وجو (صفحه مستقیم باز نشد)</t>
        </is>
      </c>
      <c r="J34" s="2" t="inlineStr">
        <is>
          <t>فاز ۱</t>
        </is>
      </c>
    </row>
    <row r="35">
      <c r="A35" s="2" t="inlineStr">
        <is>
          <t>EV-052</t>
        </is>
      </c>
      <c r="B35" s="2" t="inlineStr">
        <is>
          <t>پدال</t>
        </is>
      </c>
      <c r="C35" s="4" t="inlineStr">
        <is>
          <t>https://www.pedal.ir/news/552339-kermanmotor-kmc-ktl-jac-hyundai-sales/</t>
        </is>
      </c>
      <c r="D35" s="2" t="inlineStr">
        <is>
          <t>رسانه تخصصی خودرو</t>
        </is>
      </c>
      <c r="E35" s="2" t="inlineStr">
        <is>
          <t>آذر ۱۴۰۴</t>
        </is>
      </c>
      <c r="F35" s="3" t="n">
        <v>46305</v>
      </c>
      <c r="G35" s="2" t="inlineStr">
        <is>
          <t>فروش نقد و اقساط کی‌ام‌سی، جک و هیوندای</t>
        </is>
      </c>
      <c r="H35" s="2" t="inlineStr">
        <is>
          <t>CMP-021;BR-009</t>
        </is>
      </c>
      <c r="I35" s="2" t="inlineStr">
        <is>
          <t>خلاصه نتیجه جست‌وجو (صفحه مستقیم باز نشد)</t>
        </is>
      </c>
      <c r="J35" s="2" t="inlineStr">
        <is>
          <t>فاز ۱</t>
        </is>
      </c>
    </row>
    <row r="36">
      <c r="A36" s="2" t="inlineStr">
        <is>
          <t>EV-053</t>
        </is>
      </c>
      <c r="B36" s="2" t="inlineStr">
        <is>
          <t>دیجیاتو</t>
        </is>
      </c>
      <c r="C36" s="4" t="inlineStr">
        <is>
          <t>https://digiato.com/car-news/kerman-motor-brings-hyundai-azera-2026-to-iran</t>
        </is>
      </c>
      <c r="D36" s="2" t="inlineStr">
        <is>
          <t>رسانه فناوری/خودرو</t>
        </is>
      </c>
      <c r="E36" s="2" t="inlineStr">
        <is>
          <t>بهمن ۱۴۰۴</t>
        </is>
      </c>
      <c r="F36" s="3" t="n">
        <v>46305</v>
      </c>
      <c r="G36" s="2" t="inlineStr">
        <is>
          <t>اعلام واردات هیوندای آزرا ۲۰۲۶ توسط کرمان موتور</t>
        </is>
      </c>
      <c r="H36" s="2" t="inlineStr">
        <is>
          <t>CMP-024;BR-011</t>
        </is>
      </c>
      <c r="I36" s="2" t="inlineStr">
        <is>
          <t>خلاصه نتیجه جست‌وجو (صفحه مستقیم باز نشد)</t>
        </is>
      </c>
      <c r="J36" s="2" t="inlineStr">
        <is>
          <t>فاز ۱</t>
        </is>
      </c>
    </row>
    <row r="37">
      <c r="A37" s="2" t="inlineStr">
        <is>
          <t>EV-054</t>
        </is>
      </c>
      <c r="B37" s="2" t="inlineStr">
        <is>
          <t>خودرو۴۵ (مجله)</t>
        </is>
      </c>
      <c r="C37" s="4" t="inlineStr">
        <is>
          <t>https://khodro45.com/mag/kermanmotor-presell/</t>
        </is>
      </c>
      <c r="D37" s="2" t="inlineStr">
        <is>
          <t>پلتفرم/مجله خودرو</t>
        </is>
      </c>
      <c r="E37" s="2" t="inlineStr">
        <is>
          <t>مهر ۱۴۰۵</t>
        </is>
      </c>
      <c r="F37" s="3" t="n">
        <v>46305</v>
      </c>
      <c r="G37" s="2" t="inlineStr">
        <is>
          <t>پیش‌فروش چهار محصول کرمان موتور ۴-۱۵ بهمن ۱۴۰۴</t>
        </is>
      </c>
      <c r="H37" s="2" t="inlineStr">
        <is>
          <t>CMP-023</t>
        </is>
      </c>
      <c r="I37" s="2" t="inlineStr">
        <is>
          <t>خلاصه نتیجه جست‌وجو (صفحه مستقیم باز نشد)</t>
        </is>
      </c>
      <c r="J37" s="2" t="inlineStr">
        <is>
          <t>فاز ۱</t>
        </is>
      </c>
    </row>
    <row r="38">
      <c r="A38" s="2" t="inlineStr">
        <is>
          <t>EV-060</t>
        </is>
      </c>
      <c r="B38" s="2" t="inlineStr">
        <is>
          <t>خودروبانک</t>
        </is>
      </c>
      <c r="C38" s="4" t="inlineStr">
        <is>
          <t>https://www.khodrobank.com/reviews/40521/</t>
        </is>
      </c>
      <c r="D38" s="2" t="inlineStr">
        <is>
          <t>رسانه تخصصی خودرو</t>
        </is>
      </c>
      <c r="E38" s="2" t="inlineStr">
        <is>
          <t>پاییز ۱۴۰۴</t>
        </is>
      </c>
      <c r="F38" s="3" t="n">
        <v>46305</v>
      </c>
      <c r="G38" s="2" t="inlineStr">
        <is>
          <t>ششمین مرحله فروش بهمن موتور؛ فیدلیتی، دیگنیتی، ریسپکت</t>
        </is>
      </c>
      <c r="H38" s="2" t="inlineStr">
        <is>
          <t>CMP-025;BR-013</t>
        </is>
      </c>
      <c r="I38" s="2" t="inlineStr">
        <is>
          <t>خلاصه نتیجه جست‌وجو (صفحه مستقیم باز نشد)</t>
        </is>
      </c>
      <c r="J38" s="2" t="inlineStr">
        <is>
          <t>فاز ۱</t>
        </is>
      </c>
    </row>
    <row r="39">
      <c r="A39" s="2" t="inlineStr">
        <is>
          <t>EV-061</t>
        </is>
      </c>
      <c r="B39" s="2" t="inlineStr">
        <is>
          <t>ماشین‌مگ</t>
        </is>
      </c>
      <c r="C39" s="4" t="inlineStr">
        <is>
          <t>https://machinemag.ir/1404/08/27/%D8%B4%D8%B1%D8%A7%DB%8C%D8%B7-%D9%81%D8%B1%D9%88%D8%B4-%D8%A8%D9%87%D9%85%D9%86-%D9%85%D9%88%D8%AA%D9%88%D8%B1/</t>
        </is>
      </c>
      <c r="D39" s="2" t="inlineStr">
        <is>
          <t>رسانه تخصصی خودرو</t>
        </is>
      </c>
      <c r="E39" s="2" t="inlineStr">
        <is>
          <t>آبان-دی ۱۴۰۴</t>
        </is>
      </c>
      <c r="F39" s="3" t="n">
        <v>46305</v>
      </c>
      <c r="G39" s="2" t="inlineStr">
        <is>
          <t>شرایط فروش بهمن موتور (به‌روزرسانی ۶ دی ۱۴۰۴)</t>
        </is>
      </c>
      <c r="H39" s="2" t="inlineStr">
        <is>
          <t>CMP-025;BR-013</t>
        </is>
      </c>
      <c r="I39" s="2" t="inlineStr">
        <is>
          <t>خلاصه نتیجه جست‌وجو (صفحه مستقیم باز نشد)</t>
        </is>
      </c>
      <c r="J39" s="2" t="inlineStr">
        <is>
          <t>فاز ۱</t>
        </is>
      </c>
    </row>
    <row r="40">
      <c r="A40" s="2" t="inlineStr">
        <is>
          <t>EV-062</t>
        </is>
      </c>
      <c r="B40" s="2" t="inlineStr">
        <is>
          <t>آیتول (مجله)</t>
        </is>
      </c>
      <c r="C40" s="4" t="inlineStr">
        <is>
          <t>https://itoll.com/news/bahman-registration/</t>
        </is>
      </c>
      <c r="D40" s="2" t="inlineStr">
        <is>
          <t>پلتفرم/مجله خودرو</t>
        </is>
      </c>
      <c r="E40" s="2" t="inlineStr">
        <is>
          <t>شهریور ۱۴۰۵</t>
        </is>
      </c>
      <c r="F40" s="3" t="n">
        <v>46305</v>
      </c>
      <c r="G40" s="2" t="inlineStr">
        <is>
          <t>ثبت‌نام بهمن موتور ۱-۱۲ شهریور ۱۴۰۵؛ فیدلیتی و دیگنیتی</t>
        </is>
      </c>
      <c r="H40" s="2" t="inlineStr">
        <is>
          <t>CMP-027;BR-013</t>
        </is>
      </c>
      <c r="I40" s="2" t="inlineStr">
        <is>
          <t>خلاصه نتیجه جست‌وجو (صفحه مستقیم باز نشد)</t>
        </is>
      </c>
      <c r="J40" s="2" t="inlineStr">
        <is>
          <t>فاز ۱</t>
        </is>
      </c>
    </row>
    <row r="41">
      <c r="A41" s="2" t="inlineStr">
        <is>
          <t>EV-063</t>
        </is>
      </c>
      <c r="B41" s="2" t="inlineStr">
        <is>
          <t>دیجیاتو</t>
        </is>
      </c>
      <c r="C41" s="4" t="inlineStr">
        <is>
          <t>https://digiato.com/price-terms-of-sale-car/conditions-for-immediate-sale-of-cheval-6-announced-march-1404</t>
        </is>
      </c>
      <c r="D41" s="2" t="inlineStr">
        <is>
          <t>رسانه فناوری/خودرو</t>
        </is>
      </c>
      <c r="E41" s="2" t="inlineStr">
        <is>
          <t>اسفند ۱۴۰۴</t>
        </is>
      </c>
      <c r="F41" s="3" t="n">
        <v>46305</v>
      </c>
      <c r="G41" s="2" t="inlineStr">
        <is>
          <t>فروش فوری شوال ۶ گروه بهمن تا ۸ اسفند ۱۴۰۴</t>
        </is>
      </c>
      <c r="H41" s="2" t="inlineStr">
        <is>
          <t>CMP-026;BR-015</t>
        </is>
      </c>
      <c r="I41" s="2" t="inlineStr">
        <is>
          <t>خلاصه نتیجه جست‌وجو (صفحه مستقیم باز نشد)</t>
        </is>
      </c>
      <c r="J41" s="2" t="inlineStr">
        <is>
          <t>فاز ۱</t>
        </is>
      </c>
    </row>
    <row r="42">
      <c r="A42" s="2" t="inlineStr">
        <is>
          <t>EV-070</t>
        </is>
      </c>
      <c r="B42" s="2" t="inlineStr">
        <is>
          <t>خودرو۴۵ (مجله)</t>
        </is>
      </c>
      <c r="C42" s="4" t="inlineStr">
        <is>
          <t>https://khodro45.com/mag/avn-imported-cars-system-lottery-04-09-25/</t>
        </is>
      </c>
      <c r="D42" s="2" t="inlineStr">
        <is>
          <t>پلتفرم/مجله خودرو</t>
        </is>
      </c>
      <c r="E42" s="2" t="inlineStr">
        <is>
          <t>آذر ۱۴۰۴</t>
        </is>
      </c>
      <c r="F42" s="3" t="n">
        <v>46305</v>
      </c>
      <c r="G42" s="2" t="inlineStr">
        <is>
          <t>دور جدید ثبت‌نام خودروهای وارداتی در سامانه یکپارچه (۴-۱۲ آذر ۱۴۰۴)</t>
        </is>
      </c>
      <c r="H42" s="2" t="inlineStr">
        <is>
          <t>CMP-045;BR-011;BR-012;BR-025;BR-034</t>
        </is>
      </c>
      <c r="I42" s="2" t="inlineStr">
        <is>
          <t>خلاصه نتیجه جست‌وجو (صفحه مستقیم باز نشد)</t>
        </is>
      </c>
      <c r="J42" s="2" t="inlineStr">
        <is>
          <t>فاز ۱</t>
        </is>
      </c>
    </row>
    <row r="43">
      <c r="A43" s="2" t="inlineStr">
        <is>
          <t>EV-071</t>
        </is>
      </c>
      <c r="B43" s="2" t="inlineStr">
        <is>
          <t>دیجیاتو</t>
        </is>
      </c>
      <c r="C43" s="4" t="inlineStr">
        <is>
          <t>https://digiato.com/price-terms-of-sale-car/new-phase-of-imported-car-supply-begun-december-1404</t>
        </is>
      </c>
      <c r="D43" s="2" t="inlineStr">
        <is>
          <t>رسانه فناوری/خودرو</t>
        </is>
      </c>
      <c r="E43" s="2" t="inlineStr">
        <is>
          <t>آذر ۱۴۰۴</t>
        </is>
      </c>
      <c r="F43" s="3" t="n">
        <v>46305</v>
      </c>
      <c r="G43" s="2" t="inlineStr">
        <is>
          <t>مرحله جدید عرضه خودروهای وارداتی؛ کیا، هیوندای، تویوتا، اسکای‌ول</t>
        </is>
      </c>
      <c r="H43" s="2" t="inlineStr">
        <is>
          <t>CMP-045;BR-012</t>
        </is>
      </c>
      <c r="I43" s="2" t="inlineStr">
        <is>
          <t>خلاصه نتیجه جست‌وجو (صفحه مستقیم باز نشد)</t>
        </is>
      </c>
      <c r="J43" s="2" t="inlineStr">
        <is>
          <t>فاز ۱</t>
        </is>
      </c>
    </row>
    <row r="44">
      <c r="A44" s="2" t="inlineStr">
        <is>
          <t>EV-072</t>
        </is>
      </c>
      <c r="B44" s="2" t="inlineStr">
        <is>
          <t>کار دات آی‌آر</t>
        </is>
      </c>
      <c r="C44" s="4" t="inlineStr">
        <is>
          <t>https://car.ir/news/31202-new-round-imported-cars-enrollment-azar-1404</t>
        </is>
      </c>
      <c r="D44" s="2" t="inlineStr">
        <is>
          <t>رسانه تخصصی خودرو</t>
        </is>
      </c>
      <c r="E44" s="2" t="inlineStr">
        <is>
          <t>آذر ۱۴۰۴</t>
        </is>
      </c>
      <c r="F44" s="3" t="n">
        <v>46305</v>
      </c>
      <c r="G44" s="2" t="inlineStr">
        <is>
          <t>افزودن سوزوکی جیمنی به دور جدید سامانه</t>
        </is>
      </c>
      <c r="H44" s="2" t="inlineStr">
        <is>
          <t>CMP-045;BR-025;BR-033</t>
        </is>
      </c>
      <c r="I44" s="2" t="inlineStr">
        <is>
          <t>خلاصه نتیجه جست‌وجو (صفحه مستقیم باز نشد)</t>
        </is>
      </c>
      <c r="J44" s="2" t="inlineStr">
        <is>
          <t>فاز ۱</t>
        </is>
      </c>
    </row>
    <row r="45">
      <c r="A45" s="2" t="inlineStr">
        <is>
          <t>EV-073</t>
        </is>
      </c>
      <c r="B45" s="2" t="inlineStr">
        <is>
          <t>روزنامه تعادل</t>
        </is>
      </c>
      <c r="C45" s="4" t="inlineStr">
        <is>
          <t>https://www.taadolnewspaper.ir/fa/news/389650/</t>
        </is>
      </c>
      <c r="D45" s="2" t="inlineStr">
        <is>
          <t>روزنامه</t>
        </is>
      </c>
      <c r="E45" s="2" t="inlineStr">
        <is>
          <t>خرداد ۱۴۰۵</t>
        </is>
      </c>
      <c r="F45" s="3" t="n">
        <v>46305</v>
      </c>
      <c r="G45" s="2" t="inlineStr">
        <is>
          <t>عرضه خرداد ۱۴۰۵ در اتونوین؛ تویوتا، اشکودا، داچیا، BYD</t>
        </is>
      </c>
      <c r="H45" s="2" t="inlineStr">
        <is>
          <t>CMP-046;BR-035;BR-036</t>
        </is>
      </c>
      <c r="I45" s="2" t="inlineStr">
        <is>
          <t>خلاصه نتیجه جست‌وجو (صفحه مستقیم باز نشد)</t>
        </is>
      </c>
      <c r="J45" s="2" t="inlineStr">
        <is>
          <t>فاز ۱</t>
        </is>
      </c>
    </row>
    <row r="46">
      <c r="A46" s="2" t="inlineStr">
        <is>
          <t>EV-074</t>
        </is>
      </c>
      <c r="B46" s="2" t="inlineStr">
        <is>
          <t>اقتصادآنلاین</t>
        </is>
      </c>
      <c r="C46" s="4" t="inlineStr">
        <is>
          <t>https://www.eghtesadonline.com/fa/news/2164553/</t>
        </is>
      </c>
      <c r="D46" s="2" t="inlineStr">
        <is>
          <t>رسانه اقتصادی</t>
        </is>
      </c>
      <c r="E46" s="2" t="inlineStr">
        <is>
          <t>شهریور ۱۴۰۵</t>
        </is>
      </c>
      <c r="F46" s="3" t="n">
        <v>46305</v>
      </c>
      <c r="G46" s="2" t="inlineStr">
        <is>
          <t>ثبت‌نام خودروهای وارداتی از ۱ مهر ۱۴۰۵ (تویوتا، کیا، BYD، مارس)</t>
        </is>
      </c>
      <c r="H46" s="2" t="inlineStr">
        <is>
          <t>CMP-046;BR-047</t>
        </is>
      </c>
      <c r="I46" s="2" t="inlineStr">
        <is>
          <t>خلاصه نتیجه جست‌وجو (صفحه مستقیم باز نشد)</t>
        </is>
      </c>
      <c r="J46" s="2" t="inlineStr">
        <is>
          <t>فاز ۱</t>
        </is>
      </c>
    </row>
    <row r="47">
      <c r="A47" s="2" t="inlineStr">
        <is>
          <t>EV-075</t>
        </is>
      </c>
      <c r="B47" s="2" t="inlineStr">
        <is>
          <t>خودروبانک</t>
        </is>
      </c>
      <c r="C47" s="4" t="inlineStr">
        <is>
          <t>https://www.khodrobank.com/reviews/42146/</t>
        </is>
      </c>
      <c r="D47" s="2" t="inlineStr">
        <is>
          <t>رسانه تخصصی خودرو</t>
        </is>
      </c>
      <c r="E47" s="2" t="inlineStr">
        <is>
          <t>اردیبهشت ۱۴۰۵</t>
        </is>
      </c>
      <c r="F47" s="3" t="n">
        <v>46305</v>
      </c>
      <c r="G47" s="2" t="inlineStr">
        <is>
          <t>عرضه ۱۴ مدل وارداتی در سامانه (اردیبهشت ۱۴۰۵)</t>
        </is>
      </c>
      <c r="H47" s="2" t="inlineStr">
        <is>
          <t>CMP-046</t>
        </is>
      </c>
      <c r="I47" s="2" t="inlineStr">
        <is>
          <t>خلاصه نتیجه جست‌وجو (صفحه مستقیم باز نشد)</t>
        </is>
      </c>
      <c r="J47" s="2" t="inlineStr">
        <is>
          <t>فاز ۱</t>
        </is>
      </c>
    </row>
    <row r="48">
      <c r="A48" s="2" t="inlineStr">
        <is>
          <t>EV-080</t>
        </is>
      </c>
      <c r="B48" s="2" t="inlineStr">
        <is>
          <t>صنعت ماشین</t>
        </is>
      </c>
      <c r="C48" s="4" t="inlineStr">
        <is>
          <t>https://sanatemashin.com/fa/news/70030/</t>
        </is>
      </c>
      <c r="D48" s="2" t="inlineStr">
        <is>
          <t>رسانه تخصصی خودرو</t>
        </is>
      </c>
      <c r="E48" s="2" t="inlineStr">
        <is>
          <t>شهریور ۱۴۰۵</t>
        </is>
      </c>
      <c r="F48" s="3" t="n">
        <v>46305</v>
      </c>
      <c r="G48" s="2" t="inlineStr">
        <is>
          <t>حضور ماموت با محصولات جدید؛ رونمایی گرند کولئوس نسل جدید، آیتو M6، بخش تیونینگ</t>
        </is>
      </c>
      <c r="H48" s="2" t="inlineStr">
        <is>
          <t>CMP-029;BR-016;BR-017</t>
        </is>
      </c>
      <c r="I48" s="2" t="inlineStr">
        <is>
          <t>خلاصه نتیجه جست‌وجو (صفحه مستقیم باز نشد)</t>
        </is>
      </c>
      <c r="J48" s="2" t="inlineStr">
        <is>
          <t>فاز ۱</t>
        </is>
      </c>
    </row>
    <row r="49">
      <c r="A49" s="2" t="inlineStr">
        <is>
          <t>EV-081</t>
        </is>
      </c>
      <c r="B49" s="2" t="inlineStr">
        <is>
          <t>عصر خودرو</t>
        </is>
      </c>
      <c r="C49" s="4" t="inlineStr">
        <is>
          <t>http://www.asrekhodro.com/Home/News/263140</t>
        </is>
      </c>
      <c r="D49" s="2" t="inlineStr">
        <is>
          <t>رسانه تخصصی خودرو</t>
        </is>
      </c>
      <c r="E49" s="2" t="inlineStr">
        <is>
          <t>نامشخص</t>
        </is>
      </c>
      <c r="F49" s="3" t="n">
        <v>46305</v>
      </c>
      <c r="G49" s="2" t="inlineStr">
        <is>
          <t>کمپین برند ERES وارد فاز جدیدی از ارتباطات خلاقانه شد (روایت‌محور؛ نقل از مدیر بازاریابی ماموت)</t>
        </is>
      </c>
      <c r="H49" s="2" t="inlineStr">
        <is>
          <t>CMP-030;BR-017</t>
        </is>
      </c>
      <c r="I49" s="2" t="inlineStr">
        <is>
          <t>خلاصه نتیجه جست‌وجو (صفحه مستقیم باز نشد)</t>
        </is>
      </c>
      <c r="J49" s="2" t="inlineStr">
        <is>
          <t>فاز ۱</t>
        </is>
      </c>
    </row>
    <row r="50">
      <c r="A50" s="2" t="inlineStr">
        <is>
          <t>EV-082</t>
        </is>
      </c>
      <c r="B50" s="2" t="inlineStr">
        <is>
          <t>صنعت ماشین</t>
        </is>
      </c>
      <c r="C50" s="4" t="inlineStr">
        <is>
          <t>https://sanatemashin.com/fa/news/70001/</t>
        </is>
      </c>
      <c r="D50" s="2" t="inlineStr">
        <is>
          <t>رسانه تخصصی خودرو</t>
        </is>
      </c>
      <c r="E50" s="2" t="inlineStr">
        <is>
          <t>شهریور ۱۴۰۵</t>
        </is>
      </c>
      <c r="F50" s="3" t="n">
        <v>46305</v>
      </c>
      <c r="G50" s="2" t="inlineStr">
        <is>
          <t>حضور مکث موتور با محصولات جدید (لوکانو L7 و L8 پلاگین‌هیبرید)</t>
        </is>
      </c>
      <c r="H50" s="2" t="inlineStr">
        <is>
          <t>CMP-031;BR-018</t>
        </is>
      </c>
      <c r="I50" s="2" t="inlineStr">
        <is>
          <t>خلاصه نتیجه جست‌وجو (صفحه مستقیم باز نشد)</t>
        </is>
      </c>
      <c r="J50" s="2" t="inlineStr">
        <is>
          <t>فاز ۱</t>
        </is>
      </c>
    </row>
    <row r="51">
      <c r="A51" s="2" t="inlineStr">
        <is>
          <t>EV-083</t>
        </is>
      </c>
      <c r="B51" s="2" t="inlineStr">
        <is>
          <t>پرشین خودرو</t>
        </is>
      </c>
      <c r="C51" s="4" t="inlineStr">
        <is>
          <t>https://www.persiankhodro.com/news/150851/</t>
        </is>
      </c>
      <c r="D51" s="2" t="inlineStr">
        <is>
          <t>رسانه تخصصی خودرو</t>
        </is>
      </c>
      <c r="E51" s="2" t="inlineStr">
        <is>
          <t>شهریور ۱۴۰۵</t>
        </is>
      </c>
      <c r="F51" s="3" t="n">
        <v>46305</v>
      </c>
      <c r="G51" s="2" t="inlineStr">
        <is>
          <t>رونمایی نیسان قشقایی سفارش اروپا توسط نامی خودرو در نمایشگاه تهران</t>
        </is>
      </c>
      <c r="H51" s="2" t="inlineStr">
        <is>
          <t>CMP-038;BR-026</t>
        </is>
      </c>
      <c r="I51" s="2" t="inlineStr">
        <is>
          <t>خلاصه نتیجه جست‌وجو (صفحه مستقیم باز نشد)</t>
        </is>
      </c>
      <c r="J51" s="2" t="inlineStr">
        <is>
          <t>فاز ۱</t>
        </is>
      </c>
    </row>
    <row r="52">
      <c r="A52" s="2" t="inlineStr">
        <is>
          <t>EV-084</t>
        </is>
      </c>
      <c r="B52" s="2" t="inlineStr">
        <is>
          <t>گجت‌نیوز</t>
        </is>
      </c>
      <c r="C52" s="4" t="inlineStr">
        <is>
          <t>https://gadgetnews.net/1205236/opel-mokka-tehran-show/</t>
        </is>
      </c>
      <c r="D52" s="2" t="inlineStr">
        <is>
          <t>رسانه تخصصی خودرو</t>
        </is>
      </c>
      <c r="E52" s="2" t="inlineStr">
        <is>
          <t>شهریور ۱۴۰۵</t>
        </is>
      </c>
      <c r="F52" s="3" t="n">
        <v>46305</v>
      </c>
      <c r="G52" s="2" t="inlineStr">
        <is>
          <t>اوپل موکا بنزینی و برقی در غرفه سیکاس خودرو</t>
        </is>
      </c>
      <c r="H52" s="2" t="inlineStr">
        <is>
          <t>CMP-039;BR-027</t>
        </is>
      </c>
      <c r="I52" s="2" t="inlineStr">
        <is>
          <t>خلاصه نتیجه جست‌وجو (صفحه مستقیم باز نشد)</t>
        </is>
      </c>
      <c r="J52" s="2" t="inlineStr">
        <is>
          <t>فاز ۱</t>
        </is>
      </c>
    </row>
    <row r="53">
      <c r="A53" s="2" t="inlineStr">
        <is>
          <t>EV-085</t>
        </is>
      </c>
      <c r="B53" s="2" t="inlineStr">
        <is>
          <t>دیجیاتو</t>
        </is>
      </c>
      <c r="C53" s="4" t="inlineStr">
        <is>
          <t>https://digiato.com/car-news/look-at-mazda-cx-90-and-other-products-at-aftab-khodro-stand</t>
        </is>
      </c>
      <c r="D53" s="2" t="inlineStr">
        <is>
          <t>رسانه فناوری/خودرو</t>
        </is>
      </c>
      <c r="E53" s="2" t="inlineStr">
        <is>
          <t>شهریور ۱۴۰۵</t>
        </is>
      </c>
      <c r="F53" s="3" t="n">
        <v>46305</v>
      </c>
      <c r="G53" s="2" t="inlineStr">
        <is>
          <t>رونمایی مزدا CX-90 و محصولات ولوو در غرفه آفتاب خودرو</t>
        </is>
      </c>
      <c r="H53" s="2" t="inlineStr">
        <is>
          <t>CMP-040;BR-028;BR-029</t>
        </is>
      </c>
      <c r="I53" s="2" t="inlineStr">
        <is>
          <t>خلاصه نتیجه جست‌وجو (صفحه مستقیم باز نشد)</t>
        </is>
      </c>
      <c r="J53" s="2" t="inlineStr">
        <is>
          <t>فاز ۱</t>
        </is>
      </c>
    </row>
    <row r="54">
      <c r="A54" s="2" t="inlineStr">
        <is>
          <t>EV-086</t>
        </is>
      </c>
      <c r="B54" s="2" t="inlineStr">
        <is>
          <t>پدال</t>
        </is>
      </c>
      <c r="C54" s="4" t="inlineStr">
        <is>
          <t>https://www.pedal.ir/news/746793-moinkhodro-tehran-auto-show/</t>
        </is>
      </c>
      <c r="D54" s="2" t="inlineStr">
        <is>
          <t>رسانه تخصصی خودرو</t>
        </is>
      </c>
      <c r="E54" s="2" t="inlineStr">
        <is>
          <t>شهریور ۱۴۰۵</t>
        </is>
      </c>
      <c r="F54" s="3" t="n">
        <v>46305</v>
      </c>
      <c r="G54" s="2" t="inlineStr">
        <is>
          <t>نمایش چهار خودروی برقی و هیبریدی معین خودرو (مزدا EZ-6/EZ-60، آئودی Q4/Q5 e-tron)</t>
        </is>
      </c>
      <c r="H54" s="2" t="inlineStr">
        <is>
          <t>CMP-041;BR-028;BR-030</t>
        </is>
      </c>
      <c r="I54" s="2" t="inlineStr">
        <is>
          <t>خلاصه نتیجه جست‌وجو (صفحه مستقیم باز نشد)</t>
        </is>
      </c>
      <c r="J54" s="2" t="inlineStr">
        <is>
          <t>فاز ۱</t>
        </is>
      </c>
    </row>
    <row r="55">
      <c r="A55" s="2" t="inlineStr">
        <is>
          <t>EV-087</t>
        </is>
      </c>
      <c r="B55" s="2" t="inlineStr">
        <is>
          <t>صنعت ماشین</t>
        </is>
      </c>
      <c r="C55" s="4" t="inlineStr">
        <is>
          <t>https://sanatemashin.com/fa/news/69940/</t>
        </is>
      </c>
      <c r="D55" s="2" t="inlineStr">
        <is>
          <t>رسانه تخصصی خودرو</t>
        </is>
      </c>
      <c r="E55" s="2" t="inlineStr">
        <is>
          <t>شهریور ۱۴۰۵</t>
        </is>
      </c>
      <c r="F55" s="3" t="n">
        <v>46305</v>
      </c>
      <c r="G55" s="2" t="inlineStr">
        <is>
          <t>هرمس خودرو با چهره تازه در نمایشگاه؛ رونمایی آزرا ۳.۵ و کیا K4 (طبق عناوین خبری)</t>
        </is>
      </c>
      <c r="H55" s="2" t="inlineStr">
        <is>
          <t>CMP-042;BR-011;BR-012</t>
        </is>
      </c>
      <c r="I55" s="2" t="inlineStr">
        <is>
          <t>خلاصه نتیجه جست‌وجو (صفحه مستقیم باز نشد)</t>
        </is>
      </c>
      <c r="J55" s="2" t="inlineStr">
        <is>
          <t>فاز ۱</t>
        </is>
      </c>
    </row>
    <row r="56">
      <c r="A56" s="2" t="inlineStr">
        <is>
          <t>EV-088</t>
        </is>
      </c>
      <c r="B56" s="2" t="inlineStr">
        <is>
          <t>اقتصادآنلاین</t>
        </is>
      </c>
      <c r="C56" s="4" t="inlineStr">
        <is>
          <t>https://www.eghtesadonline.com/fa/news/2161916/</t>
        </is>
      </c>
      <c r="D56" s="2" t="inlineStr">
        <is>
          <t>رسانه اقتصادی</t>
        </is>
      </c>
      <c r="E56" s="2" t="inlineStr">
        <is>
          <t>شهریور ۱۴۰۵</t>
        </is>
      </c>
      <c r="F56" s="3" t="n">
        <v>46305</v>
      </c>
      <c r="G56" s="2" t="inlineStr">
        <is>
          <t>شتابران خودرو با ۷ محصول؛ از لیپ موتور تا تانک ۷۰۰</t>
        </is>
      </c>
      <c r="H56" s="2" t="inlineStr">
        <is>
          <t>CMP-043;BR-032</t>
        </is>
      </c>
      <c r="I56" s="2" t="inlineStr">
        <is>
          <t>خلاصه نتیجه جست‌وجو (صفحه مستقیم باز نشد)</t>
        </is>
      </c>
      <c r="J56" s="2" t="inlineStr">
        <is>
          <t>فاز ۱</t>
        </is>
      </c>
    </row>
    <row r="57">
      <c r="A57" s="2" t="inlineStr">
        <is>
          <t>EV-089</t>
        </is>
      </c>
      <c r="B57" s="2" t="inlineStr">
        <is>
          <t>صنعت ماشین</t>
        </is>
      </c>
      <c r="C57" s="4" t="inlineStr">
        <is>
          <t>https://sanatemashin.com/fa/news/69999/</t>
        </is>
      </c>
      <c r="D57" s="2" t="inlineStr">
        <is>
          <t>رسانه تخصصی خودرو</t>
        </is>
      </c>
      <c r="E57" s="2" t="inlineStr">
        <is>
          <t>شهریور ۱۴۰۵</t>
        </is>
      </c>
      <c r="F57" s="3" t="n">
        <v>46305</v>
      </c>
      <c r="G57" s="2" t="inlineStr">
        <is>
          <t>دیار خودرو با سه محصول در نمایشگاه</t>
        </is>
      </c>
      <c r="H57" s="2" t="inlineStr">
        <is>
          <t>CMP-044</t>
        </is>
      </c>
      <c r="I57" s="2" t="inlineStr">
        <is>
          <t>خلاصه نتیجه جست‌وجو (صفحه مستقیم باز نشد)</t>
        </is>
      </c>
      <c r="J57" s="2" t="inlineStr">
        <is>
          <t>فاز ۱</t>
        </is>
      </c>
    </row>
    <row r="58">
      <c r="A58" s="2" t="inlineStr">
        <is>
          <t>EV-090</t>
        </is>
      </c>
      <c r="B58" s="2" t="inlineStr">
        <is>
          <t>کارنا</t>
        </is>
      </c>
      <c r="C58" s="4" t="inlineStr">
        <is>
          <t>https://carna.ir/fa/news/26290/</t>
        </is>
      </c>
      <c r="D58" s="2" t="inlineStr">
        <is>
          <t>رسانه تخصصی خودرو</t>
        </is>
      </c>
      <c r="E58" s="2" t="inlineStr">
        <is>
          <t>مهر ۱۴۰۵</t>
        </is>
      </c>
      <c r="F58" s="3" t="n">
        <v>46305</v>
      </c>
      <c r="G58" s="2" t="inlineStr">
        <is>
          <t>«پاییز روی دور اطمینان»؛ طرح ویژه خدمات پس از فروش لاماری ۱۱-۳۰ مهر ۱۴۰۵</t>
        </is>
      </c>
      <c r="H58" s="2" t="inlineStr">
        <is>
          <t>CMP-037;BR-019</t>
        </is>
      </c>
      <c r="I58" s="2" t="inlineStr">
        <is>
          <t>خلاصه نتیجه جست‌وجو (صفحه مستقیم باز نشد)</t>
        </is>
      </c>
      <c r="J58" s="2" t="inlineStr">
        <is>
          <t>فاز ۱</t>
        </is>
      </c>
    </row>
    <row r="59">
      <c r="A59" s="2" t="inlineStr">
        <is>
          <t>EV-091</t>
        </is>
      </c>
      <c r="B59" s="2" t="inlineStr">
        <is>
          <t>ویستا</t>
        </is>
      </c>
      <c r="C59" s="4" t="inlineStr">
        <is>
          <t>https://vista.ir/n/andishehqarn/v06zi</t>
        </is>
      </c>
      <c r="D59" s="2" t="inlineStr">
        <is>
          <t>تجمیع‌کننده خبر</t>
        </is>
      </c>
      <c r="E59" s="2" t="inlineStr">
        <is>
          <t>مهر ۱۴۰۴</t>
        </is>
      </c>
      <c r="F59" s="3" t="n">
        <v>46305</v>
      </c>
      <c r="G59" s="2" t="inlineStr">
        <is>
          <t>ثبت‌نام لاماری ایما هیبرید در طرح فروش مهر ۱۴۰۴</t>
        </is>
      </c>
      <c r="H59" s="2" t="inlineStr">
        <is>
          <t>CMP-048;BR-019</t>
        </is>
      </c>
      <c r="I59" s="2" t="inlineStr">
        <is>
          <t>خلاصه نتیجه جست‌وجو (صفحه مستقیم باز نشد)</t>
        </is>
      </c>
      <c r="J59" s="2" t="inlineStr">
        <is>
          <t>فاز ۱</t>
        </is>
      </c>
    </row>
    <row r="60">
      <c r="A60" s="2" t="inlineStr">
        <is>
          <t>EV-092</t>
        </is>
      </c>
      <c r="B60" s="2" t="inlineStr">
        <is>
          <t>گجت‌نیوز</t>
        </is>
      </c>
      <c r="C60" s="4" t="inlineStr">
        <is>
          <t>https://gadgetnews.net/1180384/sales-terms-for-changan-uni-t-at-a-fixed-price-tir-1405/</t>
        </is>
      </c>
      <c r="D60" s="2" t="inlineStr">
        <is>
          <t>رسانه تخصصی خودرو</t>
        </is>
      </c>
      <c r="E60" s="2" t="inlineStr">
        <is>
          <t>تیر ۱۴۰۵</t>
        </is>
      </c>
      <c r="F60" s="3" t="n">
        <v>46305</v>
      </c>
      <c r="G60" s="2" t="inlineStr">
        <is>
          <t>فروش چانگان یونی‌تی با قیمت قطعی (کاهش قیمت تیر ۱۴۰۵)</t>
        </is>
      </c>
      <c r="H60" s="2" t="inlineStr">
        <is>
          <t>CMP-036;BR-020</t>
        </is>
      </c>
      <c r="I60" s="2" t="inlineStr">
        <is>
          <t>خلاصه نتیجه جست‌وجو (صفحه مستقیم باز نشد)</t>
        </is>
      </c>
      <c r="J60" s="2" t="inlineStr">
        <is>
          <t>فاز ۱</t>
        </is>
      </c>
    </row>
    <row r="61">
      <c r="A61" s="2" t="inlineStr">
        <is>
          <t>EV-093</t>
        </is>
      </c>
      <c r="B61" s="2" t="inlineStr">
        <is>
          <t>اقتصادآنلاین</t>
        </is>
      </c>
      <c r="C61" s="4" t="inlineStr">
        <is>
          <t>https://www.eghtesadonline.com/fa/news/2163115/</t>
        </is>
      </c>
      <c r="D61" s="2" t="inlineStr">
        <is>
          <t>رسانه اقتصادی</t>
        </is>
      </c>
      <c r="E61" s="2" t="inlineStr">
        <is>
          <t>شهریور ۱۴۰۵</t>
        </is>
      </c>
      <c r="F61" s="3" t="n">
        <v>46305</v>
      </c>
      <c r="G61" s="2" t="inlineStr">
        <is>
          <t>فروش فوری چانگان از ۲۴ شهریور ۱۴۰۵ با تحویل ۳۰ روزه</t>
        </is>
      </c>
      <c r="H61" s="2" t="inlineStr">
        <is>
          <t>CMP-036</t>
        </is>
      </c>
      <c r="I61" s="2" t="inlineStr">
        <is>
          <t>خلاصه نتیجه جست‌وجو (صفحه مستقیم باز نشد)</t>
        </is>
      </c>
      <c r="J61" s="2" t="inlineStr">
        <is>
          <t>فاز ۱</t>
        </is>
      </c>
    </row>
    <row r="62">
      <c r="A62" s="2" t="inlineStr">
        <is>
          <t>EV-100</t>
        </is>
      </c>
      <c r="B62" s="2" t="inlineStr">
        <is>
          <t>دیدار نیوز</t>
        </is>
      </c>
      <c r="C62" s="4" t="inlineStr">
        <is>
          <t>https://www.didarnews.ir/fa/news/205476/</t>
        </is>
      </c>
      <c r="D62" s="2" t="inlineStr">
        <is>
          <t>سایت خبری</t>
        </is>
      </c>
      <c r="E62" s="2" t="inlineStr">
        <is>
          <t>شهریور ۱۴۰۵</t>
        </is>
      </c>
      <c r="F62" s="3" t="n">
        <v>46305</v>
      </c>
      <c r="G62" s="2" t="inlineStr">
        <is>
          <t>رونمایی سه خودرو (تیسان T1، T2، G700) با حضور چهره‌های سرشناس در ایران‌مال</t>
        </is>
      </c>
      <c r="H62" s="2" t="inlineStr">
        <is>
          <t>CMP-032;BR-021;BR-046</t>
        </is>
      </c>
      <c r="I62" s="2" t="inlineStr">
        <is>
          <t>خلاصه نتیجه جست‌وجو (صفحه مستقیم باز نشد)</t>
        </is>
      </c>
      <c r="J62" s="2" t="inlineStr">
        <is>
          <t>فاز ۱</t>
        </is>
      </c>
    </row>
    <row r="63">
      <c r="A63" s="2" t="inlineStr">
        <is>
          <t>EV-101</t>
        </is>
      </c>
      <c r="B63" s="2" t="inlineStr">
        <is>
          <t>آخرین خبر</t>
        </is>
      </c>
      <c r="C63" s="4" t="inlineStr">
        <is>
          <t>https://akharinkhabar.ir/cars/11003425/</t>
        </is>
      </c>
      <c r="D63" s="2" t="inlineStr">
        <is>
          <t>سایت خبری</t>
        </is>
      </c>
      <c r="E63" s="2" t="inlineStr">
        <is>
          <t>شهریور ۱۴۰۵</t>
        </is>
      </c>
      <c r="F63" s="3" t="n">
        <v>46305</v>
      </c>
      <c r="G63" s="2" t="inlineStr">
        <is>
          <t>مکعب‌های تیسان؛ رونمایی سه شاسی‌بلند تیگارد در آستانه نمایشگاه</t>
        </is>
      </c>
      <c r="H63" s="2" t="inlineStr">
        <is>
          <t>CMP-032;BR-021</t>
        </is>
      </c>
      <c r="I63" s="2" t="inlineStr">
        <is>
          <t>خلاصه نتیجه جست‌وجو (صفحه مستقیم باز نشد)</t>
        </is>
      </c>
      <c r="J63" s="2" t="inlineStr">
        <is>
          <t>فاز ۱</t>
        </is>
      </c>
    </row>
    <row r="64">
      <c r="A64" s="2" t="inlineStr">
        <is>
          <t>EV-102</t>
        </is>
      </c>
      <c r="B64" s="2" t="inlineStr">
        <is>
          <t>گجت‌نیوز</t>
        </is>
      </c>
      <c r="C64" s="4" t="inlineStr">
        <is>
          <t>https://gadgetnews.net/1205296/tigard-tissan-t01-tehran-auto-show/</t>
        </is>
      </c>
      <c r="D64" s="2" t="inlineStr">
        <is>
          <t>رسانه تخصصی خودرو</t>
        </is>
      </c>
      <c r="E64" s="2" t="inlineStr">
        <is>
          <t>شهریور ۱۴۰۵</t>
        </is>
      </c>
      <c r="F64" s="3" t="n">
        <v>46305</v>
      </c>
      <c r="G64" s="2" t="inlineStr">
        <is>
          <t>رونمایی تیسان T01 در نمایشگاه خودرو تهران</t>
        </is>
      </c>
      <c r="H64" s="2" t="inlineStr">
        <is>
          <t>CMP-033;BR-021</t>
        </is>
      </c>
      <c r="I64" s="2" t="inlineStr">
        <is>
          <t>خلاصه نتیجه جست‌وجو (صفحه مستقیم باز نشد)</t>
        </is>
      </c>
      <c r="J64" s="2" t="inlineStr">
        <is>
          <t>فاز ۱</t>
        </is>
      </c>
    </row>
    <row r="65">
      <c r="A65" s="2" t="inlineStr">
        <is>
          <t>EV-103</t>
        </is>
      </c>
      <c r="B65" s="2" t="inlineStr">
        <is>
          <t>کار دات آی‌آر</t>
        </is>
      </c>
      <c r="C65" s="4" t="inlineStr">
        <is>
          <t>https://car.ir/news/31067-byd-tigardmotor-sales-aban-1404</t>
        </is>
      </c>
      <c r="D65" s="2" t="inlineStr">
        <is>
          <t>رسانه تخصصی خودرو</t>
        </is>
      </c>
      <c r="E65" s="2" t="inlineStr">
        <is>
          <t>آبان ۱۴۰۴</t>
        </is>
      </c>
      <c r="F65" s="3" t="n">
        <v>46305</v>
      </c>
      <c r="G65" s="2" t="inlineStr">
        <is>
          <t>طرح فروش BYD چین‌ال و سانگ پلاس تیگارد موتور با قیمت قطعی</t>
        </is>
      </c>
      <c r="H65" s="2" t="inlineStr">
        <is>
          <t>CMP-035;BR-022</t>
        </is>
      </c>
      <c r="I65" s="2" t="inlineStr">
        <is>
          <t>خلاصه نتیجه جست‌وجو (صفحه مستقیم باز نشد)</t>
        </is>
      </c>
      <c r="J65" s="2" t="inlineStr">
        <is>
          <t>فاز ۱</t>
        </is>
      </c>
    </row>
    <row r="66">
      <c r="A66" s="2" t="inlineStr">
        <is>
          <t>EV-104</t>
        </is>
      </c>
      <c r="B66" s="2" t="inlineStr">
        <is>
          <t>خودرو۴۵ (مجله)</t>
        </is>
      </c>
      <c r="C66" s="4" t="inlineStr">
        <is>
          <t>https://khodro45.com/mag/byd-sell/</t>
        </is>
      </c>
      <c r="D66" s="2" t="inlineStr">
        <is>
          <t>پلتفرم/مجله خودرو</t>
        </is>
      </c>
      <c r="E66" s="2" t="inlineStr">
        <is>
          <t>۱۴۰۵</t>
        </is>
      </c>
      <c r="F66" s="3" t="n">
        <v>46305</v>
      </c>
      <c r="G66" s="2" t="inlineStr">
        <is>
          <t>نبود نماینده انحصاری BYD؛ عرضه هان توسط بی‌وای‌دی علی از بهمن ۱۴۰۴</t>
        </is>
      </c>
      <c r="H66" s="2" t="inlineStr">
        <is>
          <t>CMP-047;BR-022</t>
        </is>
      </c>
      <c r="I66" s="2" t="inlineStr">
        <is>
          <t>خلاصه نتیجه جست‌وجو (صفحه مستقیم باز نشد)</t>
        </is>
      </c>
      <c r="J66" s="2" t="inlineStr">
        <is>
          <t>فاز ۱</t>
        </is>
      </c>
    </row>
    <row r="67">
      <c r="A67" s="2" t="inlineStr">
        <is>
          <t>EV-105</t>
        </is>
      </c>
      <c r="B67" s="2" t="inlineStr">
        <is>
          <t>نتایج جست‌وجوی چندگانه</t>
        </is>
      </c>
      <c r="C67" s="4" t="inlineStr">
        <is>
          <t>https://www.bamco.ir/</t>
        </is>
      </c>
      <c r="D67" s="2" t="inlineStr">
        <is>
          <t>وب‌سایت رسمی (عنوان دیده شد)</t>
        </is>
      </c>
      <c r="E67" s="2" t="inlineStr">
        <is>
          <t>نامشخص</t>
        </is>
      </c>
      <c r="F67" s="3" t="n">
        <v>46305</v>
      </c>
      <c r="G67" s="2" t="inlineStr">
        <is>
          <t>خودروسازان بم خود را نماینده جیلی و لیفان معرفی می‌کند؛ برای هونگچی و GAC نماینده رسمی یافت نشد</t>
        </is>
      </c>
      <c r="H67" s="2" t="inlineStr">
        <is>
          <t>BR-038;BR-039;BR-040</t>
        </is>
      </c>
      <c r="I67" s="2" t="inlineStr">
        <is>
          <t>خلاصه نتیجه جست‌وجو (صفحه مستقیم باز نشد)</t>
        </is>
      </c>
      <c r="J67" s="2" t="inlineStr">
        <is>
          <t>فاز ۱</t>
        </is>
      </c>
    </row>
    <row r="68">
      <c r="A68" s="2" t="inlineStr">
        <is>
          <t>EV-106</t>
        </is>
      </c>
      <c r="B68" s="2" t="inlineStr">
        <is>
          <t>دیجیاتو</t>
        </is>
      </c>
      <c r="C68" s="4" t="inlineStr">
        <is>
          <t>https://digiato.com/price-terms-of-sale-car/first-sales-conditions-for-tisan-s05-published-january-1404</t>
        </is>
      </c>
      <c r="D68" s="2" t="inlineStr">
        <is>
          <t>رسانه فناوری/خودرو</t>
        </is>
      </c>
      <c r="E68" s="2" t="inlineStr">
        <is>
          <t>دی ۱۴۰۴</t>
        </is>
      </c>
      <c r="F68" s="3" t="n">
        <v>46305</v>
      </c>
      <c r="G68" s="2" t="inlineStr">
        <is>
          <t>نخستین شرایط فروش تیسان S05</t>
        </is>
      </c>
      <c r="H68" s="2" t="inlineStr">
        <is>
          <t>CMP-034</t>
        </is>
      </c>
      <c r="I68" s="2" t="inlineStr">
        <is>
          <t>خلاصه نتیجه جست‌وجو (صفحه مستقیم باز نشد)</t>
        </is>
      </c>
      <c r="J68" s="2" t="inlineStr">
        <is>
          <t>فاز ۱</t>
        </is>
      </c>
    </row>
    <row r="69">
      <c r="A69" s="2" t="inlineStr">
        <is>
          <t>EV-110</t>
        </is>
      </c>
      <c r="B69" s="2" t="inlineStr">
        <is>
          <t>زومیت</t>
        </is>
      </c>
      <c r="C69" s="4" t="inlineStr">
        <is>
          <t>https://www.zoomit.ir/iran-news/454674-khodro45-outdoor-campaign-sold-in-a-moment/</t>
        </is>
      </c>
      <c r="D69" s="2" t="inlineStr">
        <is>
          <t>رسانه فناوری</t>
        </is>
      </c>
      <c r="E69" s="2" t="inlineStr">
        <is>
          <t>آذر ۱۴۰۴</t>
        </is>
      </c>
      <c r="F69" s="3" t="n">
        <v>46305</v>
      </c>
      <c r="G69" s="2" t="inlineStr">
        <is>
          <t>کمپین محیطی خودرو۴۵ از ۲۵ آذر به مدت یک ماه؛ پیام «یک… آن فروخته شد»</t>
        </is>
      </c>
      <c r="H69" s="2" t="inlineStr">
        <is>
          <t>ECO-001</t>
        </is>
      </c>
      <c r="I69" s="2" t="inlineStr">
        <is>
          <t>خلاصه نتیجه جست‌وجو (صفحه مستقیم باز نشد)</t>
        </is>
      </c>
      <c r="J69" s="2" t="inlineStr">
        <is>
          <t>فاز ۱</t>
        </is>
      </c>
    </row>
    <row r="70">
      <c r="A70" s="2" t="inlineStr">
        <is>
          <t>EV-111</t>
        </is>
      </c>
      <c r="B70" s="2" t="inlineStr">
        <is>
          <t>دیجیاتو</t>
        </is>
      </c>
      <c r="C70" s="4" t="inlineStr">
        <is>
          <t>https://digiato.com/iran-technology-news/khodro45-launches-new-outdoor-advertising-campaign</t>
        </is>
      </c>
      <c r="D70" s="2" t="inlineStr">
        <is>
          <t>رسانه فناوری</t>
        </is>
      </c>
      <c r="E70" s="2" t="inlineStr">
        <is>
          <t>آذر ۱۴۰۴</t>
        </is>
      </c>
      <c r="F70" s="3" t="n">
        <v>46305</v>
      </c>
      <c r="G70" s="2" t="inlineStr">
        <is>
          <t>کمپین جدید تبلیغات محیطی خودرو۴۵</t>
        </is>
      </c>
      <c r="H70" s="2" t="inlineStr">
        <is>
          <t>ECO-001</t>
        </is>
      </c>
      <c r="I70" s="2" t="inlineStr">
        <is>
          <t>خلاصه نتیجه جست‌وجو (صفحه مستقیم باز نشد)</t>
        </is>
      </c>
      <c r="J70" s="2" t="inlineStr">
        <is>
          <t>فاز ۱</t>
        </is>
      </c>
    </row>
    <row r="71">
      <c r="A71" s="2" t="inlineStr">
        <is>
          <t>EV-112</t>
        </is>
      </c>
      <c r="B71" s="2" t="inlineStr">
        <is>
          <t>تابناک</t>
        </is>
      </c>
      <c r="C71" s="4" t="inlineStr">
        <is>
          <t>https://www.tabnak.ir/fa/news/1356090/</t>
        </is>
      </c>
      <c r="D71" s="2" t="inlineStr">
        <is>
          <t>خبرگزاری/سایت خبری</t>
        </is>
      </c>
      <c r="E71" s="2" t="inlineStr">
        <is>
          <t>نامشخص</t>
        </is>
      </c>
      <c r="F71" s="3" t="n">
        <v>46305</v>
      </c>
      <c r="G71" s="2" t="inlineStr">
        <is>
          <t>کمپین «آنفلوانزای خودرویی» برند کاسپین روی بیلبوردهای تهران؛ فاز اول بدون نام برند (تیزینگ)</t>
        </is>
      </c>
      <c r="H71" s="2" t="inlineStr">
        <is>
          <t>ECO-002</t>
        </is>
      </c>
      <c r="I71" s="2" t="inlineStr">
        <is>
          <t>خلاصه نتیجه جست‌وجو (صفحه مستقیم باز نشد)</t>
        </is>
      </c>
      <c r="J71" s="2" t="inlineStr">
        <is>
          <t>فاز ۱</t>
        </is>
      </c>
    </row>
    <row r="72">
      <c r="A72" s="2" t="inlineStr">
        <is>
          <t>EV-120</t>
        </is>
      </c>
      <c r="B72" s="2" t="inlineStr">
        <is>
          <t>دیجیاتو</t>
        </is>
      </c>
      <c r="C72" s="4" t="inlineStr">
        <is>
          <t>https://digiato.com/car-news/saipa-unveiled-three-new-products-ariano-z25-pickup-and-251-van</t>
        </is>
      </c>
      <c r="D72" s="2" t="inlineStr">
        <is>
          <t>رسانه فناوری/خودرو</t>
        </is>
      </c>
      <c r="E72" s="2" t="inlineStr">
        <is>
          <t>مهر ۱۴۰۵</t>
        </is>
      </c>
      <c r="F72" s="3" t="n">
        <v>46305</v>
      </c>
      <c r="G72" s="2" t="inlineStr">
        <is>
          <t>رونمایی سایپا از آریانو، پیکاپ Z25 و وانت ۲۵۱</t>
        </is>
      </c>
      <c r="H72" s="2" t="inlineStr">
        <is>
          <t>CMP-006;BR-005</t>
        </is>
      </c>
      <c r="I72" s="2" t="inlineStr">
        <is>
          <t>خلاصه نتیجه جست‌وجو (صفحه مستقیم باز نشد)</t>
        </is>
      </c>
      <c r="J72" s="2" t="inlineStr">
        <is>
          <t>فاز ۲</t>
        </is>
      </c>
    </row>
    <row r="73">
      <c r="A73" s="2" t="inlineStr">
        <is>
          <t>EV-121</t>
        </is>
      </c>
      <c r="B73" s="2" t="inlineStr">
        <is>
          <t>انتخاب</t>
        </is>
      </c>
      <c r="C73" s="4" t="inlineStr">
        <is>
          <t>https://www.entekhab.ir/fa/news/940556/</t>
        </is>
      </c>
      <c r="D73" s="2" t="inlineStr">
        <is>
          <t>سایت خبری</t>
        </is>
      </c>
      <c r="E73" s="2" t="inlineStr">
        <is>
          <t>مهر ۱۴۰۵</t>
        </is>
      </c>
      <c r="F73" s="3" t="n">
        <v>46305</v>
      </c>
      <c r="G73" s="2" t="inlineStr">
        <is>
          <t>مراسم افتتاح خط آریا و رونمایی ۳ محصول جدید سایپا؛ معرفی خانواده موتور جدید (۳۱ شهریور ۱۴۰۵، با حضور وزیر صمت)</t>
        </is>
      </c>
      <c r="H73" s="2" t="inlineStr">
        <is>
          <t>CMP-006</t>
        </is>
      </c>
      <c r="I73" s="2" t="inlineStr">
        <is>
          <t>خلاصه نتیجه جست‌وجو (صفحه مستقیم باز نشد)</t>
        </is>
      </c>
      <c r="J73" s="2" t="inlineStr">
        <is>
          <t>فاز ۲</t>
        </is>
      </c>
    </row>
    <row r="74">
      <c r="A74" s="2" t="inlineStr">
        <is>
          <t>EV-122</t>
        </is>
      </c>
      <c r="B74" s="2" t="inlineStr">
        <is>
          <t>خبرآنلاین</t>
        </is>
      </c>
      <c r="C74" s="4" t="inlineStr">
        <is>
          <t>https://www.khabaronline.ir/news/2285171/</t>
        </is>
      </c>
      <c r="D74" s="2" t="inlineStr">
        <is>
          <t>خبرگزاری</t>
        </is>
      </c>
      <c r="E74" s="2" t="inlineStr">
        <is>
          <t>مهر ۱۴۰۵</t>
        </is>
      </c>
      <c r="F74" s="3" t="n">
        <v>46305</v>
      </c>
      <c r="G74" s="2" t="inlineStr">
        <is>
          <t>از جانشین نیسان آبی تا آریانو؛ محصولات جدید سایپا معرفی شدند</t>
        </is>
      </c>
      <c r="H74" s="2" t="inlineStr">
        <is>
          <t>CMP-006</t>
        </is>
      </c>
      <c r="I74" s="2" t="inlineStr">
        <is>
          <t>خلاصه نتیجه جست‌وجو (صفحه مستقیم باز نشد)</t>
        </is>
      </c>
      <c r="J74" s="2" t="inlineStr">
        <is>
          <t>فاز ۲</t>
        </is>
      </c>
    </row>
    <row r="75">
      <c r="A75" s="2" t="inlineStr">
        <is>
          <t>EV-123</t>
        </is>
      </c>
      <c r="B75" s="2" t="inlineStr">
        <is>
          <t>گجت‌نیوز</t>
        </is>
      </c>
      <c r="C75" s="4" t="inlineStr">
        <is>
          <t>https://gadgetnews.net/1216298/saipa-ariano-phev-details/</t>
        </is>
      </c>
      <c r="D75" s="2" t="inlineStr">
        <is>
          <t>رسانه تخصصی خودرو</t>
        </is>
      </c>
      <c r="E75" s="2" t="inlineStr">
        <is>
          <t>مهر ۱۴۰۵</t>
        </is>
      </c>
      <c r="F75" s="3" t="n">
        <v>46305</v>
      </c>
      <c r="G75" s="2" t="inlineStr">
        <is>
          <t>جزئیات آریانو پلاگین‌هیبرید (برد ترکیبی حدود ۱۲۰۰ کیلومتر؛ «اولین پلاگین‌هیبرید کشور» طبق گزارش‌ها)</t>
        </is>
      </c>
      <c r="H75" s="2" t="inlineStr">
        <is>
          <t>CMP-006</t>
        </is>
      </c>
      <c r="I75" s="2" t="inlineStr">
        <is>
          <t>خلاصه نتیجه جست‌وجو (صفحه مستقیم باز نشد)</t>
        </is>
      </c>
      <c r="J75" s="2" t="inlineStr">
        <is>
          <t>فاز ۲</t>
        </is>
      </c>
    </row>
    <row r="76">
      <c r="A76" s="2" t="inlineStr">
        <is>
          <t>EV-124</t>
        </is>
      </c>
      <c r="B76" s="2" t="inlineStr">
        <is>
          <t>راهبرد معاصر</t>
        </is>
      </c>
      <c r="C76" s="4" t="inlineStr">
        <is>
          <t>https://rahbordemoaser.ir/fa/news/320132/</t>
        </is>
      </c>
      <c r="D76" s="2" t="inlineStr">
        <is>
          <t>سایت خبری</t>
        </is>
      </c>
      <c r="E76" s="2" t="inlineStr">
        <is>
          <t>مهر ۱۴۰۵</t>
        </is>
      </c>
      <c r="F76" s="3" t="n">
        <v>46305</v>
      </c>
      <c r="G76" s="2" t="inlineStr">
        <is>
          <t>پیش‌فروش نقدی/مشارکتی آریا اتوماتیک و کوییک S از ۱۲ مهر ۱۴۰۵؛ ۳۳۰۰ دستگاه</t>
        </is>
      </c>
      <c r="H76" s="2" t="inlineStr">
        <is>
          <t>CMP-050</t>
        </is>
      </c>
      <c r="I76" s="2" t="inlineStr">
        <is>
          <t>خلاصه نتیجه جست‌وجو (صفحه مستقیم باز نشد)</t>
        </is>
      </c>
      <c r="J76" s="2" t="inlineStr">
        <is>
          <t>فاز ۲</t>
        </is>
      </c>
    </row>
    <row r="77">
      <c r="A77" s="2" t="inlineStr">
        <is>
          <t>EV-125</t>
        </is>
      </c>
      <c r="B77" s="2" t="inlineStr">
        <is>
          <t>کارنا</t>
        </is>
      </c>
      <c r="C77" s="4" t="inlineStr">
        <is>
          <t>https://carna.ir/fa/news/26307/</t>
        </is>
      </c>
      <c r="D77" s="2" t="inlineStr">
        <is>
          <t>رسانه تخصصی خودرو</t>
        </is>
      </c>
      <c r="E77" s="2" t="inlineStr">
        <is>
          <t>مهر ۱۴۰۵</t>
        </is>
      </c>
      <c r="F77" s="3" t="n">
        <v>46305</v>
      </c>
      <c r="G77" s="2" t="inlineStr">
        <is>
          <t>قیمت و شرایط فروش آریا برای مهر ۱۴۰۵ + بخشنامه</t>
        </is>
      </c>
      <c r="H77" s="2" t="inlineStr">
        <is>
          <t>CMP-050</t>
        </is>
      </c>
      <c r="I77" s="2" t="inlineStr">
        <is>
          <t>خلاصه نتیجه جست‌وجو (صفحه مستقیم باز نشد)</t>
        </is>
      </c>
      <c r="J77" s="2" t="inlineStr">
        <is>
          <t>فاز ۲</t>
        </is>
      </c>
    </row>
    <row r="78">
      <c r="A78" s="2" t="inlineStr">
        <is>
          <t>EV-126</t>
        </is>
      </c>
      <c r="B78" s="2" t="inlineStr">
        <is>
          <t>پدال</t>
        </is>
      </c>
      <c r="C78" s="4" t="inlineStr">
        <is>
          <t>https://www.pedal.ir/news/746813-ikco-content-competition-tehran-auto-show/</t>
        </is>
      </c>
      <c r="D78" s="2" t="inlineStr">
        <is>
          <t>رسانه تخصصی خودرو</t>
        </is>
      </c>
      <c r="E78" s="2" t="inlineStr">
        <is>
          <t>شهریور ۱۴۰۵</t>
        </is>
      </c>
      <c r="F78" s="3" t="n">
        <v>46305</v>
      </c>
      <c r="G78" s="2" t="inlineStr">
        <is>
          <t>مسابقه تولید محتوا (ریلز اینستاگرام با تگ @official.ikco) در نمایشگاه تهران با ۱۷۵ میلیون تومان جایزه</t>
        </is>
      </c>
      <c r="H78" s="2" t="inlineStr">
        <is>
          <t>CMP-049</t>
        </is>
      </c>
      <c r="I78" s="2" t="inlineStr">
        <is>
          <t>خلاصه نتیجه جست‌وجو (صفحه مستقیم باز نشد)</t>
        </is>
      </c>
      <c r="J78" s="2" t="inlineStr">
        <is>
          <t>فاز ۲</t>
        </is>
      </c>
    </row>
    <row r="79">
      <c r="A79" s="2" t="inlineStr">
        <is>
          <t>EV-127</t>
        </is>
      </c>
      <c r="B79" s="2" t="inlineStr">
        <is>
          <t>خبرگزاری مهر</t>
        </is>
      </c>
      <c r="C79" s="4" t="inlineStr">
        <is>
          <t>https://www.mehrnews.com/news/6945620/</t>
        </is>
      </c>
      <c r="D79" s="2" t="inlineStr">
        <is>
          <t>خبرگزاری</t>
        </is>
      </c>
      <c r="E79" s="2" t="inlineStr">
        <is>
          <t>شهریور ۱۴۰۵</t>
        </is>
      </c>
      <c r="F79" s="3" t="n">
        <v>46305</v>
      </c>
      <c r="G79" s="2" t="inlineStr">
        <is>
          <t>مسابقه معرفی خودرو توسط علاقه‌مندان در نمایشگاه خودرو تهران؛ جوایز ۱۰۰/۵۰/۲۵ میلیون تومان؛ معیار کیفیت و خلاقیت نه فقط فالوور</t>
        </is>
      </c>
      <c r="H79" s="2" t="inlineStr">
        <is>
          <t>CMP-049</t>
        </is>
      </c>
      <c r="I79" s="2" t="inlineStr">
        <is>
          <t>خلاصه نتیجه جست‌وجو (صفحه مستقیم باز نشد)</t>
        </is>
      </c>
      <c r="J79" s="2" t="inlineStr">
        <is>
          <t>فاز ۲</t>
        </is>
      </c>
    </row>
    <row r="80">
      <c r="A80" s="2" t="inlineStr">
        <is>
          <t>EV-128</t>
        </is>
      </c>
      <c r="B80" s="2" t="inlineStr">
        <is>
          <t>اقتصادآنلاین</t>
        </is>
      </c>
      <c r="C80" s="4" t="inlineStr">
        <is>
          <t>https://www.eghtesadonline.com/fa/news/2162765/</t>
        </is>
      </c>
      <c r="D80" s="2" t="inlineStr">
        <is>
          <t>رسانه اقتصادی</t>
        </is>
      </c>
      <c r="E80" s="2" t="inlineStr">
        <is>
          <t>شهریور ۱۴۰۵</t>
        </is>
      </c>
      <c r="F80" s="3" t="n">
        <v>46305</v>
      </c>
      <c r="G80" s="2" t="inlineStr">
        <is>
          <t>مسابقه معرفی خودرو توسط علاقه‌مندان در نمایشگاه خودرو تهران</t>
        </is>
      </c>
      <c r="H80" s="2" t="inlineStr">
        <is>
          <t>CMP-049</t>
        </is>
      </c>
      <c r="I80" s="2" t="inlineStr">
        <is>
          <t>خلاصه نتیجه جست‌وجو (صفحه مستقیم باز نشد)</t>
        </is>
      </c>
      <c r="J80" s="2" t="inlineStr">
        <is>
          <t>فاز ۲</t>
        </is>
      </c>
    </row>
    <row r="81">
      <c r="A81" s="2" t="inlineStr">
        <is>
          <t>EV-129</t>
        </is>
      </c>
      <c r="B81" s="2" t="inlineStr">
        <is>
          <t>کارنا</t>
        </is>
      </c>
      <c r="C81" s="4" t="inlineStr">
        <is>
          <t>https://carna.ir/fa/news/26073/</t>
        </is>
      </c>
      <c r="D81" s="2" t="inlineStr">
        <is>
          <t>رسانه تخصصی خودرو</t>
        </is>
      </c>
      <c r="E81" s="2" t="inlineStr">
        <is>
          <t>شهریور ۱۴۰۵</t>
        </is>
      </c>
      <c r="F81" s="3" t="n">
        <v>46305</v>
      </c>
      <c r="G81" s="2" t="inlineStr">
        <is>
          <t>افتتاح خط تولید سفیر R7 و رونمایی ۳ محصول تجاری ایران‌خودرو (اتوبوس سریر، کمپرسی فوتون ۶×۴، کامیونت میلر)</t>
        </is>
      </c>
      <c r="H81" s="2" t="inlineStr">
        <is>
          <t>CMP-015;BR-005</t>
        </is>
      </c>
      <c r="I81" s="2" t="inlineStr">
        <is>
          <t>خلاصه نتیجه جست‌وجو (صفحه مستقیم باز نشد)</t>
        </is>
      </c>
      <c r="J81" s="2" t="inlineStr">
        <is>
          <t>فاز ۲</t>
        </is>
      </c>
    </row>
    <row r="82">
      <c r="A82" s="2" t="inlineStr">
        <is>
          <t>EV-130</t>
        </is>
      </c>
      <c r="B82" s="2" t="inlineStr">
        <is>
          <t>پرشین خودرو</t>
        </is>
      </c>
      <c r="C82" s="4" t="inlineStr">
        <is>
          <t>https://www.persiankhodro.com/news/150791/</t>
        </is>
      </c>
      <c r="D82" s="2" t="inlineStr">
        <is>
          <t>رسانه تخصصی خودرو</t>
        </is>
      </c>
      <c r="E82" s="2" t="inlineStr">
        <is>
          <t>شهریور ۱۴۰۵</t>
        </is>
      </c>
      <c r="F82" s="3" t="n">
        <v>46305</v>
      </c>
      <c r="G82" s="2" t="inlineStr">
        <is>
          <t>معرفی تیسان T1 پیش از رونمایی رسمی (کاتالوگ)؛ رونمایی رسمی برنامه‌ریزی‌شده ۲۱ شهریور ۱۴۰۵</t>
        </is>
      </c>
      <c r="H82" s="2" t="inlineStr">
        <is>
          <t>CMP-032</t>
        </is>
      </c>
      <c r="I82" s="2" t="inlineStr">
        <is>
          <t>خلاصه نتیجه جست‌وجو (صفحه مستقیم باز نشد)</t>
        </is>
      </c>
      <c r="J82" s="2" t="inlineStr">
        <is>
          <t>فاز ۲</t>
        </is>
      </c>
    </row>
    <row r="83">
      <c r="A83" s="2" t="inlineStr">
        <is>
          <t>EV-131</t>
        </is>
      </c>
      <c r="B83" s="2" t="inlineStr">
        <is>
          <t>گجت‌نیوز</t>
        </is>
      </c>
      <c r="C83" s="4" t="inlineStr">
        <is>
          <t>https://gadgetnews.net/1204737/tigard-motor-unveiled-the-tissan-t1-t2-and-g700-vehicles/</t>
        </is>
      </c>
      <c r="D83" s="2" t="inlineStr">
        <is>
          <t>رسانه تخصصی خودرو</t>
        </is>
      </c>
      <c r="E83" s="2" t="inlineStr">
        <is>
          <t>شهریور ۱۴۰۵</t>
        </is>
      </c>
      <c r="F83" s="3" t="n">
        <v>46305</v>
      </c>
      <c r="G83" s="2" t="inlineStr">
        <is>
          <t>رونمایی تیسان T1، T2 و G700 با گارانتی شش‌ساله/۲۰۰ هزار کیلومتر</t>
        </is>
      </c>
      <c r="H83" s="2" t="inlineStr">
        <is>
          <t>CMP-032</t>
        </is>
      </c>
      <c r="I83" s="2" t="inlineStr">
        <is>
          <t>خلاصه نتیجه جست‌وجو (صفحه مستقیم باز نشد)</t>
        </is>
      </c>
      <c r="J83" s="2" t="inlineStr">
        <is>
          <t>فاز ۲</t>
        </is>
      </c>
    </row>
    <row r="84">
      <c r="A84" s="2" t="inlineStr">
        <is>
          <t>EV-132</t>
        </is>
      </c>
      <c r="B84" s="2" t="inlineStr">
        <is>
          <t>گجت‌نیوز</t>
        </is>
      </c>
      <c r="C84" s="4" t="inlineStr">
        <is>
          <t>https://gadgetnews.net/1205407/tigard-motors-tissan-t02-off-road-suv-was-unveiled-at-the-tehran-auto-show/</t>
        </is>
      </c>
      <c r="D84" s="2" t="inlineStr">
        <is>
          <t>رسانه تخصصی خودرو</t>
        </is>
      </c>
      <c r="E84" s="2" t="inlineStr">
        <is>
          <t>شهریور ۱۴۰۵</t>
        </is>
      </c>
      <c r="F84" s="3" t="n">
        <v>46305</v>
      </c>
      <c r="G84" s="2" t="inlineStr">
        <is>
          <t>رونمایی تیسان T02 آفرود در نمایشگاه تهران</t>
        </is>
      </c>
      <c r="H84" s="2" t="inlineStr">
        <is>
          <t>CMP-033</t>
        </is>
      </c>
      <c r="I84" s="2" t="inlineStr">
        <is>
          <t>خلاصه نتیجه جست‌وجو (صفحه مستقیم باز نشد)</t>
        </is>
      </c>
      <c r="J84" s="2" t="inlineStr">
        <is>
          <t>فاز ۲</t>
        </is>
      </c>
    </row>
    <row r="85">
      <c r="A85" s="2" t="inlineStr">
        <is>
          <t>EV-133</t>
        </is>
      </c>
      <c r="B85" s="2" t="inlineStr">
        <is>
          <t>گجت‌نیوز</t>
        </is>
      </c>
      <c r="C85" s="4" t="inlineStr">
        <is>
          <t>https://gadgetnews.net/1205843/tisan-g700-suv-unveiled/</t>
        </is>
      </c>
      <c r="D85" s="2" t="inlineStr">
        <is>
          <t>رسانه تخصصی خودرو</t>
        </is>
      </c>
      <c r="E85" s="2" t="inlineStr">
        <is>
          <t>شهریور ۱۴۰۵</t>
        </is>
      </c>
      <c r="F85" s="3" t="n">
        <v>46305</v>
      </c>
      <c r="G85" s="2" t="inlineStr">
        <is>
          <t>رونمایی تیسان G700 در نمایشگاه تهران</t>
        </is>
      </c>
      <c r="H85" s="2" t="inlineStr">
        <is>
          <t>CMP-033</t>
        </is>
      </c>
      <c r="I85" s="2" t="inlineStr">
        <is>
          <t>خلاصه نتیجه جست‌وجو (صفحه مستقیم باز نشد)</t>
        </is>
      </c>
      <c r="J85" s="2" t="inlineStr">
        <is>
          <t>فاز ۲</t>
        </is>
      </c>
    </row>
    <row r="86">
      <c r="A86" s="2" t="inlineStr">
        <is>
          <t>EV-134</t>
        </is>
      </c>
      <c r="B86" s="2" t="inlineStr">
        <is>
          <t>دیجیاتو</t>
        </is>
      </c>
      <c r="C86" s="4" t="inlineStr">
        <is>
          <t>https://digiato.com/articles/look-at-specifications-of-tigard-motor-tisan-s05</t>
        </is>
      </c>
      <c r="D86" s="2" t="inlineStr">
        <is>
          <t>رسانه فناوری/خودرو</t>
        </is>
      </c>
      <c r="E86" s="2" t="inlineStr">
        <is>
          <t>دی ۱۴۰۴</t>
        </is>
      </c>
      <c r="F86" s="3" t="n">
        <v>46305</v>
      </c>
      <c r="G86" s="2" t="inlineStr">
        <is>
          <t>رونمایی تیسان S05 در ایران‌مال (۹ دی ۱۴۰۴ طبق خلاصه)؛ رقیب X55 Pro</t>
        </is>
      </c>
      <c r="H86" s="2" t="inlineStr">
        <is>
          <t>CMP-034</t>
        </is>
      </c>
      <c r="I86" s="2" t="inlineStr">
        <is>
          <t>خلاصه نتیجه جست‌وجو (صفحه مستقیم باز نشد)</t>
        </is>
      </c>
      <c r="J86" s="2" t="inlineStr">
        <is>
          <t>فاز ۲</t>
        </is>
      </c>
    </row>
    <row r="87">
      <c r="A87" s="2" t="inlineStr">
        <is>
          <t>EV-135</t>
        </is>
      </c>
      <c r="B87" s="2" t="inlineStr">
        <is>
          <t>گجت‌نیوز</t>
        </is>
      </c>
      <c r="C87" s="4" t="inlineStr">
        <is>
          <t>https://gadgetnews.net/1103059/tigard-motors-has-unveiled-chinese-crossover-tisan-s05/</t>
        </is>
      </c>
      <c r="D87" s="2" t="inlineStr">
        <is>
          <t>رسانه تخصصی خودرو</t>
        </is>
      </c>
      <c r="E87" s="2" t="inlineStr">
        <is>
          <t>دی ۱۴۰۴</t>
        </is>
      </c>
      <c r="F87" s="3" t="n">
        <v>46305</v>
      </c>
      <c r="G87" s="2" t="inlineStr">
        <is>
          <t>تیگارد موتور از کراس‌اوور تیسان S05 رونمایی کرد</t>
        </is>
      </c>
      <c r="H87" s="2" t="inlineStr">
        <is>
          <t>CMP-034</t>
        </is>
      </c>
      <c r="I87" s="2" t="inlineStr">
        <is>
          <t>خلاصه نتیجه جست‌وجو (صفحه مستقیم باز نشد)</t>
        </is>
      </c>
      <c r="J87" s="2" t="inlineStr">
        <is>
          <t>فاز ۲</t>
        </is>
      </c>
    </row>
    <row r="88">
      <c r="A88" s="2" t="inlineStr">
        <is>
          <t>EV-136</t>
        </is>
      </c>
      <c r="B88" s="2" t="inlineStr">
        <is>
          <t>اقتصادآنلاین</t>
        </is>
      </c>
      <c r="C88" s="4" t="inlineStr">
        <is>
          <t>https://www.eghtesadonline.com/fa/news/2164075/</t>
        </is>
      </c>
      <c r="D88" s="2" t="inlineStr">
        <is>
          <t>رسانه اقتصادی</t>
        </is>
      </c>
      <c r="E88" s="2" t="inlineStr">
        <is>
          <t>شهریور ۱۴۰۵</t>
        </is>
      </c>
      <c r="F88" s="3" t="n">
        <v>46305</v>
      </c>
      <c r="G88" s="2" t="inlineStr">
        <is>
          <t>شرایط فروش رنو گرند کولئوس ۲۰۲۶؛ ۱۴.۹ میلیارد تومان</t>
        </is>
      </c>
      <c r="H88" s="2" t="inlineStr">
        <is>
          <t>CMP-051</t>
        </is>
      </c>
      <c r="I88" s="2" t="inlineStr">
        <is>
          <t>خلاصه نتیجه جست‌وجو (صفحه مستقیم باز نشد)</t>
        </is>
      </c>
      <c r="J88" s="2" t="inlineStr">
        <is>
          <t>فاز ۲</t>
        </is>
      </c>
    </row>
    <row r="89">
      <c r="A89" s="2" t="inlineStr">
        <is>
          <t>EV-137</t>
        </is>
      </c>
      <c r="B89" s="2" t="inlineStr">
        <is>
          <t>صنعت ماشین</t>
        </is>
      </c>
      <c r="C89" s="4" t="inlineStr">
        <is>
          <t>https://sanatemashin.com/fa/news/70052/</t>
        </is>
      </c>
      <c r="D89" s="2" t="inlineStr">
        <is>
          <t>رسانه تخصصی خودرو</t>
        </is>
      </c>
      <c r="E89" s="2" t="inlineStr">
        <is>
          <t>شهریور ۱۴۰۵</t>
        </is>
      </c>
      <c r="F89" s="3" t="n">
        <v>46305</v>
      </c>
      <c r="G89" s="2" t="inlineStr">
        <is>
          <t>فروش فوری گرند کولئوس ماموت: ثبت‌نام حضوری ۲۹ شهریور تا ۱ مهر ۱۴۰۵؛ تحویل ۳۰ روزه</t>
        </is>
      </c>
      <c r="H89" s="2" t="inlineStr">
        <is>
          <t>CMP-051</t>
        </is>
      </c>
      <c r="I89" s="2" t="inlineStr">
        <is>
          <t>خلاصه نتیجه جست‌وجو (صفحه مستقیم باز نشد)</t>
        </is>
      </c>
      <c r="J89" s="2" t="inlineStr">
        <is>
          <t>فاز ۲</t>
        </is>
      </c>
    </row>
    <row r="90">
      <c r="A90" s="2" t="inlineStr">
        <is>
          <t>EV-138</t>
        </is>
      </c>
      <c r="B90" s="2" t="inlineStr">
        <is>
          <t>فرارو</t>
        </is>
      </c>
      <c r="C90" s="4" t="inlineStr">
        <is>
          <t>https://fararu.com/fa/news/1007471/</t>
        </is>
      </c>
      <c r="D90" s="2" t="inlineStr">
        <is>
          <t>سایت خبری</t>
        </is>
      </c>
      <c r="E90" s="2" t="inlineStr">
        <is>
          <t>مهر ۱۴۰۵</t>
        </is>
      </c>
      <c r="F90" s="3" t="n">
        <v>46305</v>
      </c>
      <c r="G90" s="2" t="inlineStr">
        <is>
          <t>انتقاد رسانه‌ای: گرند کولئوس در ایران ۶.۴ میلیارد تومان گران‌تر از امارات</t>
        </is>
      </c>
      <c r="H90" s="2" t="inlineStr">
        <is>
          <t>CMP-051</t>
        </is>
      </c>
      <c r="I90" s="2" t="inlineStr">
        <is>
          <t>خلاصه نتیجه جست‌وجو (صفحه مستقیم باز نشد)</t>
        </is>
      </c>
      <c r="J90" s="2" t="inlineStr">
        <is>
          <t>فاز ۲</t>
        </is>
      </c>
    </row>
    <row r="91">
      <c r="A91" s="2" t="inlineStr">
        <is>
          <t>EV-139</t>
        </is>
      </c>
      <c r="B91" s="2" t="inlineStr">
        <is>
          <t>پدال</t>
        </is>
      </c>
      <c r="C91" s="4" t="inlineStr">
        <is>
          <t>https://www.pedal.ir/news/746843-bahman-group-tehran-auto-show-five-new-reveals/</t>
        </is>
      </c>
      <c r="D91" s="2" t="inlineStr">
        <is>
          <t>رسانه تخصصی خودرو</t>
        </is>
      </c>
      <c r="E91" s="2" t="inlineStr">
        <is>
          <t>شهریور ۱۴۰۵</t>
        </is>
      </c>
      <c r="F91" s="3" t="n">
        <v>46305</v>
      </c>
      <c r="G91" s="2" t="inlineStr">
        <is>
          <t>گروه بهمن در شهر آفتاب؛ ۵ رونمایی از اوتار ۰۷ تا فورس F60</t>
        </is>
      </c>
      <c r="H91" s="2" t="inlineStr">
        <is>
          <t>CMP-028</t>
        </is>
      </c>
      <c r="I91" s="2" t="inlineStr">
        <is>
          <t>خلاصه نتیجه جست‌وجو (صفحه مستقیم باز نشد)</t>
        </is>
      </c>
      <c r="J91" s="2" t="inlineStr">
        <is>
          <t>فاز ۲</t>
        </is>
      </c>
    </row>
    <row r="92">
      <c r="A92" s="2" t="inlineStr">
        <is>
          <t>EV-140</t>
        </is>
      </c>
      <c r="B92" s="2" t="inlineStr">
        <is>
          <t>روزنامه تعادل</t>
        </is>
      </c>
      <c r="C92" s="4" t="inlineStr">
        <is>
          <t>https://www.taadolnewspaper.ir/fa/news/402390/</t>
        </is>
      </c>
      <c r="D92" s="2" t="inlineStr">
        <is>
          <t>روزنامه</t>
        </is>
      </c>
      <c r="E92" s="2" t="inlineStr">
        <is>
          <t>شهریور ۱۴۰۵</t>
        </is>
      </c>
      <c r="F92" s="3" t="n">
        <v>46305</v>
      </c>
      <c r="G92" s="2" t="inlineStr">
        <is>
          <t>گروه بهمن با ۵ محصول جدید (اوتار ۰۷، اینووی، فورس F60، ون VM2 اکو/VIP) در سالن A4</t>
        </is>
      </c>
      <c r="H92" s="2" t="inlineStr">
        <is>
          <t>CMP-028</t>
        </is>
      </c>
      <c r="I92" s="2" t="inlineStr">
        <is>
          <t>خلاصه نتیجه جست‌وجو (صفحه مستقیم باز نشد)</t>
        </is>
      </c>
      <c r="J92" s="2" t="inlineStr">
        <is>
          <t>فاز ۲</t>
        </is>
      </c>
    </row>
    <row r="93">
      <c r="A93" s="2" t="inlineStr">
        <is>
          <t>EV-141</t>
        </is>
      </c>
      <c r="B93" s="2" t="inlineStr">
        <is>
          <t>خبرگزاری مهر</t>
        </is>
      </c>
      <c r="C93" s="4" t="inlineStr">
        <is>
          <t>https://www.mehrnews.com/news/6941386/</t>
        </is>
      </c>
      <c r="D93" s="2" t="inlineStr">
        <is>
          <t>خبرگزاری</t>
        </is>
      </c>
      <c r="E93" s="2" t="inlineStr">
        <is>
          <t>شهریور ۱۴۰۵</t>
        </is>
      </c>
      <c r="F93" s="3" t="n">
        <v>46305</v>
      </c>
      <c r="G93" s="2" t="inlineStr">
        <is>
          <t>گروه بهمن با محصول جدید خود به نمایشگاه تهران می‌رود</t>
        </is>
      </c>
      <c r="H93" s="2" t="inlineStr">
        <is>
          <t>CMP-028</t>
        </is>
      </c>
      <c r="I93" s="2" t="inlineStr">
        <is>
          <t>خلاصه نتیجه جست‌وجو (صفحه مستقیم باز نشد)</t>
        </is>
      </c>
      <c r="J93" s="2" t="inlineStr">
        <is>
          <t>فاز ۲</t>
        </is>
      </c>
    </row>
    <row r="94">
      <c r="A94" s="2" t="inlineStr">
        <is>
          <t>EV-142</t>
        </is>
      </c>
      <c r="B94" s="2" t="inlineStr">
        <is>
          <t>صنعت ماشین</t>
        </is>
      </c>
      <c r="C94" s="4" t="inlineStr">
        <is>
          <t>https://sanatemashin.com/fa/news/69979/</t>
        </is>
      </c>
      <c r="D94" s="2" t="inlineStr">
        <is>
          <t>رسانه تخصصی خودرو</t>
        </is>
      </c>
      <c r="E94" s="2" t="inlineStr">
        <is>
          <t>۲۳ شهریور ۱۴۰۵</t>
        </is>
      </c>
      <c r="F94" s="3" t="n">
        <v>46305</v>
      </c>
      <c r="G94" s="2" t="inlineStr">
        <is>
          <t>مزدا CX-90 چهارچرخ‌محرک توسط آفتاب خودرو رونمایی شد</t>
        </is>
      </c>
      <c r="H94" s="2" t="inlineStr">
        <is>
          <t>CMP-040</t>
        </is>
      </c>
      <c r="I94" s="2" t="inlineStr">
        <is>
          <t>خلاصه نتیجه جست‌وجو (صفحه مستقیم باز نشد)</t>
        </is>
      </c>
      <c r="J94" s="2" t="inlineStr">
        <is>
          <t>فاز ۲</t>
        </is>
      </c>
    </row>
    <row r="95">
      <c r="A95" s="2" t="inlineStr">
        <is>
          <t>EV-143</t>
        </is>
      </c>
      <c r="B95" s="2" t="inlineStr">
        <is>
          <t>صنعت ماشین</t>
        </is>
      </c>
      <c r="C95" s="4" t="inlineStr">
        <is>
          <t>https://sanatemashin.com/fa/news/69980/</t>
        </is>
      </c>
      <c r="D95" s="2" t="inlineStr">
        <is>
          <t>رسانه تخصصی خودرو</t>
        </is>
      </c>
      <c r="E95" s="2" t="inlineStr">
        <is>
          <t>شهریور ۱۴۰۵</t>
        </is>
      </c>
      <c r="F95" s="3" t="n">
        <v>46305</v>
      </c>
      <c r="G95" s="2" t="inlineStr">
        <is>
          <t>اوپل گرندلند هیبرید (نسل دوم) توسط سیکاس خودرو رونمایی شد</t>
        </is>
      </c>
      <c r="H95" s="2" t="inlineStr">
        <is>
          <t>CMP-039</t>
        </is>
      </c>
      <c r="I95" s="2" t="inlineStr">
        <is>
          <t>خلاصه نتیجه جست‌وجو (صفحه مستقیم باز نشد)</t>
        </is>
      </c>
      <c r="J95" s="2" t="inlineStr">
        <is>
          <t>فاز ۲</t>
        </is>
      </c>
    </row>
    <row r="96">
      <c r="A96" s="2" t="inlineStr">
        <is>
          <t>EV-144</t>
        </is>
      </c>
      <c r="B96" s="2" t="inlineStr">
        <is>
          <t>گجت‌نیوز</t>
        </is>
      </c>
      <c r="C96" s="4" t="inlineStr">
        <is>
          <t>https://gadgetnews.net/1205375/opel-grandland-crossover-arrives-in-iran/</t>
        </is>
      </c>
      <c r="D96" s="2" t="inlineStr">
        <is>
          <t>رسانه تخصصی خودرو</t>
        </is>
      </c>
      <c r="E96" s="2" t="inlineStr">
        <is>
          <t>شهریور ۱۴۰۵</t>
        </is>
      </c>
      <c r="F96" s="3" t="n">
        <v>46305</v>
      </c>
      <c r="G96" s="2" t="inlineStr">
        <is>
          <t>اوپل گرندلند به ایران رسید؛ رونمایی در شهر آفتاب</t>
        </is>
      </c>
      <c r="H96" s="2" t="inlineStr">
        <is>
          <t>CMP-039</t>
        </is>
      </c>
      <c r="I96" s="2" t="inlineStr">
        <is>
          <t>خلاصه نتیجه جست‌وجو (صفحه مستقیم باز نشد)</t>
        </is>
      </c>
      <c r="J96" s="2" t="inlineStr">
        <is>
          <t>فاز ۲</t>
        </is>
      </c>
    </row>
    <row r="97">
      <c r="A97" s="2" t="inlineStr">
        <is>
          <t>EV-145</t>
        </is>
      </c>
      <c r="B97" s="2" t="inlineStr">
        <is>
          <t>پدال</t>
        </is>
      </c>
      <c r="C97" s="4" t="inlineStr">
        <is>
          <t>https://www.pedal.ir/introduction/746850-opel-corsa-tehran-exhibition/</t>
        </is>
      </c>
      <c r="D97" s="2" t="inlineStr">
        <is>
          <t>رسانه تخصصی خودرو</t>
        </is>
      </c>
      <c r="E97" s="2" t="inlineStr">
        <is>
          <t>شهریور ۱۴۰۵</t>
        </is>
      </c>
      <c r="F97" s="3" t="n">
        <v>46305</v>
      </c>
      <c r="G97" s="2" t="inlineStr">
        <is>
          <t>اوپل کورسا در نمایشگاه خودرو تهران (سیکاس خودرو)</t>
        </is>
      </c>
      <c r="H97" s="2" t="inlineStr">
        <is>
          <t>CMP-039</t>
        </is>
      </c>
      <c r="I97" s="2" t="inlineStr">
        <is>
          <t>خلاصه نتیجه جست‌وجو (صفحه مستقیم باز نشد)</t>
        </is>
      </c>
      <c r="J97" s="2" t="inlineStr">
        <is>
          <t>فاز ۲</t>
        </is>
      </c>
    </row>
    <row r="98">
      <c r="A98" s="2" t="inlineStr">
        <is>
          <t>EV-146</t>
        </is>
      </c>
      <c r="B98" s="2" t="inlineStr">
        <is>
          <t>گجت‌نیوز</t>
        </is>
      </c>
      <c r="C98" s="4" t="inlineStr">
        <is>
          <t>https://gadgetnews.net/1204964/sales-terms-for-the-arina-drive-nissan-qashqai-at-the-new-price-shahrivar-1405/</t>
        </is>
      </c>
      <c r="D98" s="2" t="inlineStr">
        <is>
          <t>رسانه تخصصی خودرو</t>
        </is>
      </c>
      <c r="E98" s="2" t="inlineStr">
        <is>
          <t>شهریور ۱۴۰۵</t>
        </is>
      </c>
      <c r="F98" s="3" t="n">
        <v>46305</v>
      </c>
      <c r="G98" s="2" t="inlineStr">
        <is>
          <t>فروش نقدی نیسان قشقایی آرینا درایو با قیمت جدید (۷.۵۸ میلیارد تومان، تحویل ۳۰ روزه)</t>
        </is>
      </c>
      <c r="H98" s="2" t="inlineStr">
        <is>
          <t>CMP-052;BR-026</t>
        </is>
      </c>
      <c r="I98" s="2" t="inlineStr">
        <is>
          <t>خلاصه نتیجه جست‌وجو (صفحه مستقیم باز نشد)</t>
        </is>
      </c>
      <c r="J98" s="2" t="inlineStr">
        <is>
          <t>فاز ۲</t>
        </is>
      </c>
    </row>
    <row r="99">
      <c r="A99" s="2" t="inlineStr">
        <is>
          <t>EV-147</t>
        </is>
      </c>
      <c r="B99" s="2" t="inlineStr">
        <is>
          <t>گجت‌نیوز</t>
        </is>
      </c>
      <c r="C99" s="4" t="inlineStr">
        <is>
          <t>https://gadgetnews.net/1177238/nissan-qashqai-sales-terms-for-tir-1405/</t>
        </is>
      </c>
      <c r="D99" s="2" t="inlineStr">
        <is>
          <t>رسانه تخصصی خودرو</t>
        </is>
      </c>
      <c r="E99" s="2" t="inlineStr">
        <is>
          <t>تیر ۱۴۰۵</t>
        </is>
      </c>
      <c r="F99" s="3" t="n">
        <v>46305</v>
      </c>
      <c r="G99" s="2" t="inlineStr">
        <is>
          <t>شرایط فروش نیسان قشقایی در تیر ۱۴۰۵ (دومرحله‌ای/اقساطی)</t>
        </is>
      </c>
      <c r="H99" s="2" t="inlineStr">
        <is>
          <t>CMP-052</t>
        </is>
      </c>
      <c r="I99" s="2" t="inlineStr">
        <is>
          <t>خلاصه نتیجه جست‌وجو (صفحه مستقیم باز نشد)</t>
        </is>
      </c>
      <c r="J99" s="2" t="inlineStr">
        <is>
          <t>فاز ۲</t>
        </is>
      </c>
    </row>
    <row r="100">
      <c r="A100" s="2" t="inlineStr">
        <is>
          <t>EV-148</t>
        </is>
      </c>
      <c r="B100" s="2" t="inlineStr">
        <is>
          <t>دیجیاتو</t>
        </is>
      </c>
      <c r="C100" s="4" t="inlineStr">
        <is>
          <t>https://digiato.com/price-terms-of-sale-car/kia-k3-and-kia-stonic-sales-conditions-published-september-1405</t>
        </is>
      </c>
      <c r="D100" s="2" t="inlineStr">
        <is>
          <t>رسانه فناوری/خودرو</t>
        </is>
      </c>
      <c r="E100" s="2" t="inlineStr">
        <is>
          <t>شهریور ۱۴۰۵</t>
        </is>
      </c>
      <c r="F100" s="3" t="n">
        <v>46305</v>
      </c>
      <c r="G100" s="2" t="inlineStr">
        <is>
          <t>شرایط فروش کیا K3 و استونیک هرمس خودرو</t>
        </is>
      </c>
      <c r="H100" s="2" t="inlineStr">
        <is>
          <t>CMP-053</t>
        </is>
      </c>
      <c r="I100" s="2" t="inlineStr">
        <is>
          <t>خلاصه نتیجه جست‌وجو (صفحه مستقیم باز نشد)</t>
        </is>
      </c>
      <c r="J100" s="2" t="inlineStr">
        <is>
          <t>فاز ۲</t>
        </is>
      </c>
    </row>
    <row r="101">
      <c r="A101" s="2" t="inlineStr">
        <is>
          <t>EV-149</t>
        </is>
      </c>
      <c r="B101" s="2" t="inlineStr">
        <is>
          <t>دیجیاتو</t>
        </is>
      </c>
      <c r="C101" s="4" t="inlineStr">
        <is>
          <t>https://digiato.com/price-terms-of-sale-car/prices-of-kia-and-hyundai-hermes-khodro-cars-increased-may-2026</t>
        </is>
      </c>
      <c r="D101" s="2" t="inlineStr">
        <is>
          <t>رسانه فناوری/خودرو</t>
        </is>
      </c>
      <c r="E101" s="2" t="inlineStr">
        <is>
          <t>اردیبهشت ۱۴۰۵</t>
        </is>
      </c>
      <c r="F101" s="3" t="n">
        <v>46305</v>
      </c>
      <c r="G101" s="2" t="inlineStr">
        <is>
          <t>افزایش قیمت کیا و هیوندای هرمس خودرو (سوناتا، توسان L، سلتوس، سورنتو)</t>
        </is>
      </c>
      <c r="H101" s="2" t="inlineStr">
        <is>
          <t>CMP-053</t>
        </is>
      </c>
      <c r="I101" s="2" t="inlineStr">
        <is>
          <t>خلاصه نتیجه جست‌وجو (صفحه مستقیم باز نشد)</t>
        </is>
      </c>
      <c r="J101" s="2" t="inlineStr">
        <is>
          <t>فاز ۲</t>
        </is>
      </c>
    </row>
    <row r="102">
      <c r="A102" s="2" t="inlineStr">
        <is>
          <t>EV-150</t>
        </is>
      </c>
      <c r="B102" s="2" t="inlineStr">
        <is>
          <t>باما</t>
        </is>
      </c>
      <c r="C102" s="4" t="inlineStr">
        <is>
          <t>https://bama.ir/news/offer/%D8%B4%D8%B1%D8%A7%DB%8C%D8%B7-%D9%81%D8%B1%D9%88%D8%B4-%D9%87%D8%B1%D9%85%D8%B3-%D8%AE%D9%88%D8%AF%D8%B1%D9%88</t>
        </is>
      </c>
      <c r="D102" s="2" t="inlineStr">
        <is>
          <t>رسانه تخصصی خودرو</t>
        </is>
      </c>
      <c r="E102" s="2" t="inlineStr">
        <is>
          <t>۱۴۰۵</t>
        </is>
      </c>
      <c r="F102" s="3" t="n">
        <v>46305</v>
      </c>
      <c r="G102" s="2" t="inlineStr">
        <is>
          <t>شرایط فروش هرمس خودرو ۱۴۰۵ (K4 دولیتری ۲۰۲۶، تحویل ۹۰ روزه؛ سلتوس در اتونوین از ۱ مهر)</t>
        </is>
      </c>
      <c r="H102" s="2" t="inlineStr">
        <is>
          <t>CMP-053</t>
        </is>
      </c>
      <c r="I102" s="2" t="inlineStr">
        <is>
          <t>خلاصه نتیجه جست‌وجو (صفحه مستقیم باز نشد)</t>
        </is>
      </c>
      <c r="J102" s="2" t="inlineStr">
        <is>
          <t>فاز ۲</t>
        </is>
      </c>
    </row>
    <row r="103">
      <c r="A103" s="2" t="inlineStr">
        <is>
          <t>EV-151</t>
        </is>
      </c>
      <c r="B103" s="2" t="inlineStr">
        <is>
          <t>وب‌سایت رسمی آفتاب خودرو</t>
        </is>
      </c>
      <c r="C103" s="4" t="inlineStr">
        <is>
          <t>https://aftab-khodro.com/post/EX30-Sales</t>
        </is>
      </c>
      <c r="D103" s="2" t="inlineStr">
        <is>
          <t>وب‌سایت رسمی (فقط در نتایج دیده شد)</t>
        </is>
      </c>
      <c r="E103" s="2" t="inlineStr">
        <is>
          <t>شهریور ۱۴۰۴</t>
        </is>
      </c>
      <c r="F103" s="3" t="n">
        <v>46305</v>
      </c>
      <c r="G103" s="2" t="inlineStr">
        <is>
          <t>بخشنامه فروش ولوو EX30 (خارج از بازه؛ نشان می‌دهد سایت رسمی بخشنامه منتشر می‌کند)</t>
        </is>
      </c>
      <c r="H103" s="2" t="inlineStr">
        <is>
          <t>زمینه‌ای (روش‌شناسی)</t>
        </is>
      </c>
      <c r="I103" s="2" t="inlineStr">
        <is>
          <t>خلاصه نتیجه جست‌وجو (صفحه مستقیم باز نشد)</t>
        </is>
      </c>
      <c r="J103" s="2" t="inlineStr">
        <is>
          <t>فاز ۲</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s>
  <pageMargins left="0.75" right="0.75" top="1" bottom="1" header="0.5" footer="0.5"/>
  <tableParts count="1">
    <tablePart xmlns:r="http://schemas.openxmlformats.org/officeDocument/2006/relationships" r:id="rId103"/>
  </tableParts>
</worksheet>
</file>

<file path=xl/worksheets/sheet5.xml><?xml version="1.0" encoding="utf-8"?>
<worksheet xmlns="http://schemas.openxmlformats.org/spreadsheetml/2006/main">
  <sheetPr>
    <outlinePr summaryBelow="1" summaryRight="1"/>
    <pageSetUpPr/>
  </sheetPr>
  <dimension ref="A1:O79"/>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8" customWidth="1" min="3" max="3"/>
    <col width="10"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6" customWidth="1" min="15" max="15"/>
  </cols>
  <sheetData>
    <row r="1" ht="36" customHeight="1">
      <c r="A1" s="1" t="inlineStr">
        <is>
          <t>ID</t>
        </is>
      </c>
      <c r="B1" s="1" t="inlineStr">
        <is>
          <t>برند/بازیگر</t>
        </is>
      </c>
      <c r="C1" s="1" t="inlineStr">
        <is>
          <t>دسته</t>
        </is>
      </c>
      <c r="D1" s="1" t="inlineStr">
        <is>
          <t>تعداد رکورد</t>
        </is>
      </c>
      <c r="E1" s="1" t="inlineStr">
        <is>
          <t>نمایشگاه</t>
        </is>
      </c>
      <c r="F1" s="1" t="inlineStr">
        <is>
          <t>رویداد</t>
        </is>
      </c>
      <c r="G1" s="1" t="inlineStr">
        <is>
          <t>سامانه فروش</t>
        </is>
      </c>
      <c r="H1" s="1" t="inlineStr">
        <is>
          <t>رسانه</t>
        </is>
      </c>
      <c r="I1" s="1" t="inlineStr">
        <is>
          <t>بیلبورد</t>
        </is>
      </c>
      <c r="J1" s="1" t="inlineStr">
        <is>
          <t>شوروم</t>
        </is>
      </c>
      <c r="K1" s="1" t="inlineStr">
        <is>
          <t>نمایندگی</t>
        </is>
      </c>
      <c r="L1" s="1" t="inlineStr">
        <is>
          <t>چهره</t>
        </is>
      </c>
      <c r="M1" s="1" t="inlineStr">
        <is>
          <t>رپورتاژ</t>
        </is>
      </c>
      <c r="N1" s="1" t="inlineStr">
        <is>
          <t>تست‌درایو</t>
        </is>
      </c>
      <c r="O1" s="1" t="inlineStr">
        <is>
          <t>گستردگی کانال (تعداد کانال متمایز)</t>
        </is>
      </c>
    </row>
    <row r="2">
      <c r="A2" s="2" t="inlineStr">
        <is>
          <t>BR-001</t>
        </is>
      </c>
      <c r="B2" s="2" t="inlineStr">
        <is>
          <t>ایران خودرو (IKCO) — تارا، ری‌را، دنا، سورن، پژو ۲۰۷</t>
        </is>
      </c>
      <c r="C2" s="2" t="inlineStr">
        <is>
          <t>A — خودروساز داخلی</t>
        </is>
      </c>
      <c r="D2" s="2" t="n">
        <v>6</v>
      </c>
      <c r="E2" s="2" t="n">
        <v>3</v>
      </c>
      <c r="F2" s="2" t="n">
        <v>0</v>
      </c>
      <c r="G2" s="2" t="n">
        <v>2</v>
      </c>
      <c r="H2" s="2" t="n">
        <v>3</v>
      </c>
      <c r="I2" s="2" t="n">
        <v>0</v>
      </c>
      <c r="J2" s="2" t="n">
        <v>0</v>
      </c>
      <c r="K2" s="2" t="n">
        <v>1</v>
      </c>
      <c r="L2" s="2" t="n">
        <v>0</v>
      </c>
      <c r="M2" s="2" t="n">
        <v>0</v>
      </c>
      <c r="N2" s="2" t="n">
        <v>1</v>
      </c>
      <c r="O2" s="2" t="n">
        <v>5</v>
      </c>
    </row>
    <row r="3">
      <c r="A3" s="2" t="inlineStr">
        <is>
          <t>BR-002</t>
        </is>
      </c>
      <c r="B3" s="2" t="inlineStr">
        <is>
          <t>ایکو پرمیوم / سفیر (زیربرند ایران خودرو)</t>
        </is>
      </c>
      <c r="C3" s="2" t="inlineStr">
        <is>
          <t>A — خودروساز داخلی</t>
        </is>
      </c>
      <c r="D3" s="2" t="n">
        <v>2</v>
      </c>
      <c r="E3" s="2" t="n">
        <v>1</v>
      </c>
      <c r="F3" s="2" t="n">
        <v>1</v>
      </c>
      <c r="G3" s="2" t="n">
        <v>0</v>
      </c>
      <c r="H3" s="2" t="n">
        <v>2</v>
      </c>
      <c r="I3" s="2" t="n">
        <v>0</v>
      </c>
      <c r="J3" s="2" t="n">
        <v>1</v>
      </c>
      <c r="K3" s="2" t="n">
        <v>0</v>
      </c>
      <c r="L3" s="2" t="n">
        <v>0</v>
      </c>
      <c r="M3" s="2" t="n">
        <v>0</v>
      </c>
      <c r="N3" s="2" t="n">
        <v>1</v>
      </c>
      <c r="O3" s="2" t="n">
        <v>5</v>
      </c>
    </row>
    <row r="4">
      <c r="A4" s="2" t="inlineStr">
        <is>
          <t>BR-003</t>
        </is>
      </c>
      <c r="B4" s="2" t="inlineStr">
        <is>
          <t>سایپا — شاهین، آریا، اطلس، ساینا، کوییک، ۱۵۱</t>
        </is>
      </c>
      <c r="C4" s="2" t="inlineStr">
        <is>
          <t>A — خودروساز داخلی</t>
        </is>
      </c>
      <c r="D4" s="2" t="n">
        <v>7</v>
      </c>
      <c r="E4" s="2" t="n">
        <v>0</v>
      </c>
      <c r="F4" s="2" t="n">
        <v>1</v>
      </c>
      <c r="G4" s="2" t="n">
        <v>6</v>
      </c>
      <c r="H4" s="2" t="n">
        <v>1</v>
      </c>
      <c r="I4" s="2" t="n">
        <v>0</v>
      </c>
      <c r="J4" s="2" t="n">
        <v>0</v>
      </c>
      <c r="K4" s="2" t="n">
        <v>0</v>
      </c>
      <c r="L4" s="2" t="n">
        <v>0</v>
      </c>
      <c r="M4" s="2" t="n">
        <v>0</v>
      </c>
      <c r="N4" s="2" t="n">
        <v>0</v>
      </c>
      <c r="O4" s="2" t="n">
        <v>3</v>
      </c>
    </row>
    <row r="5">
      <c r="A5" s="2" t="inlineStr">
        <is>
          <t>BR-004</t>
        </is>
      </c>
      <c r="B5" s="2" t="inlineStr">
        <is>
          <t>پارس خودرو (گروه سایپا)</t>
        </is>
      </c>
      <c r="C5" s="2" t="inlineStr">
        <is>
          <t>A — خودروساز داخلی</t>
        </is>
      </c>
      <c r="D5" s="2" t="n">
        <v>1</v>
      </c>
      <c r="E5" s="2" t="n">
        <v>0</v>
      </c>
      <c r="F5" s="2" t="n">
        <v>0</v>
      </c>
      <c r="G5" s="2" t="n">
        <v>1</v>
      </c>
      <c r="H5" s="2" t="n">
        <v>0</v>
      </c>
      <c r="I5" s="2" t="n">
        <v>0</v>
      </c>
      <c r="J5" s="2" t="n">
        <v>0</v>
      </c>
      <c r="K5" s="2" t="n">
        <v>0</v>
      </c>
      <c r="L5" s="2" t="n">
        <v>0</v>
      </c>
      <c r="M5" s="2" t="n">
        <v>0</v>
      </c>
      <c r="N5" s="2" t="n">
        <v>0</v>
      </c>
      <c r="O5" s="2" t="n">
        <v>1</v>
      </c>
    </row>
    <row r="6">
      <c r="A6" s="2" t="inlineStr">
        <is>
          <t>BR-006</t>
        </is>
      </c>
      <c r="B6" s="2" t="inlineStr">
        <is>
          <t>MVM</t>
        </is>
      </c>
      <c r="C6" s="2" t="inlineStr">
        <is>
          <t>B — مونتاژی</t>
        </is>
      </c>
      <c r="D6" s="2" t="n">
        <v>3</v>
      </c>
      <c r="E6" s="2" t="n">
        <v>0</v>
      </c>
      <c r="F6" s="2" t="n">
        <v>0</v>
      </c>
      <c r="G6" s="2" t="n">
        <v>2</v>
      </c>
      <c r="H6" s="2" t="n">
        <v>0</v>
      </c>
      <c r="I6" s="2" t="n">
        <v>0</v>
      </c>
      <c r="J6" s="2" t="n">
        <v>0</v>
      </c>
      <c r="K6" s="2" t="n">
        <v>1</v>
      </c>
      <c r="L6" s="2" t="n">
        <v>0</v>
      </c>
      <c r="M6" s="2" t="n">
        <v>0</v>
      </c>
      <c r="N6" s="2" t="n">
        <v>0</v>
      </c>
      <c r="O6" s="2" t="n">
        <v>2</v>
      </c>
    </row>
    <row r="7">
      <c r="A7" s="2" t="inlineStr">
        <is>
          <t>BR-007</t>
        </is>
      </c>
      <c r="B7" s="2" t="inlineStr">
        <is>
          <t>FOWNIX / Fownix NEV</t>
        </is>
      </c>
      <c r="C7" s="2" t="inlineStr">
        <is>
          <t>B — مونتاژی</t>
        </is>
      </c>
      <c r="D7" s="2" t="n">
        <v>4</v>
      </c>
      <c r="E7" s="2" t="n">
        <v>0</v>
      </c>
      <c r="F7" s="2" t="n">
        <v>0</v>
      </c>
      <c r="G7" s="2" t="n">
        <v>2</v>
      </c>
      <c r="H7" s="2" t="n">
        <v>1</v>
      </c>
      <c r="I7" s="2" t="n">
        <v>0</v>
      </c>
      <c r="J7" s="2" t="n">
        <v>0</v>
      </c>
      <c r="K7" s="2" t="n">
        <v>1</v>
      </c>
      <c r="L7" s="2" t="n">
        <v>0</v>
      </c>
      <c r="M7" s="2" t="n">
        <v>1</v>
      </c>
      <c r="N7" s="2" t="n">
        <v>0</v>
      </c>
      <c r="O7" s="2" t="n">
        <v>4</v>
      </c>
    </row>
    <row r="8">
      <c r="A8" s="2" t="inlineStr">
        <is>
          <t>BR-008</t>
        </is>
      </c>
      <c r="B8" s="2" t="inlineStr">
        <is>
          <t>XTRIM (EXEED)</t>
        </is>
      </c>
      <c r="C8" s="2" t="inlineStr">
        <is>
          <t>B — مونتاژی</t>
        </is>
      </c>
      <c r="D8" s="2" t="n">
        <v>2</v>
      </c>
      <c r="E8" s="2" t="n">
        <v>0</v>
      </c>
      <c r="F8" s="2" t="n">
        <v>0</v>
      </c>
      <c r="G8" s="2" t="n">
        <v>2</v>
      </c>
      <c r="H8" s="2" t="n">
        <v>0</v>
      </c>
      <c r="I8" s="2" t="n">
        <v>0</v>
      </c>
      <c r="J8" s="2" t="n">
        <v>0</v>
      </c>
      <c r="K8" s="2" t="n">
        <v>0</v>
      </c>
      <c r="L8" s="2" t="n">
        <v>0</v>
      </c>
      <c r="M8" s="2" t="n">
        <v>0</v>
      </c>
      <c r="N8" s="2" t="n">
        <v>0</v>
      </c>
      <c r="O8" s="2" t="n">
        <v>1</v>
      </c>
    </row>
    <row r="9">
      <c r="A9" s="2" t="inlineStr">
        <is>
          <t>BR-009</t>
        </is>
      </c>
      <c r="B9" s="2" t="inlineStr">
        <is>
          <t>KMC</t>
        </is>
      </c>
      <c r="C9" s="2" t="inlineStr">
        <is>
          <t>B — مونتاژی</t>
        </is>
      </c>
      <c r="D9" s="2" t="n">
        <v>3</v>
      </c>
      <c r="E9" s="2" t="n">
        <v>0</v>
      </c>
      <c r="F9" s="2" t="n">
        <v>0</v>
      </c>
      <c r="G9" s="2" t="n">
        <v>1</v>
      </c>
      <c r="H9" s="2" t="n">
        <v>0</v>
      </c>
      <c r="I9" s="2" t="n">
        <v>0</v>
      </c>
      <c r="J9" s="2" t="n">
        <v>0</v>
      </c>
      <c r="K9" s="2" t="n">
        <v>0</v>
      </c>
      <c r="L9" s="2" t="n">
        <v>0</v>
      </c>
      <c r="M9" s="2" t="n">
        <v>0</v>
      </c>
      <c r="N9" s="2" t="n">
        <v>0</v>
      </c>
      <c r="O9" s="2" t="n">
        <v>1</v>
      </c>
    </row>
    <row r="10">
      <c r="A10" s="2" t="inlineStr">
        <is>
          <t>BR-010</t>
        </is>
      </c>
      <c r="B10" s="2" t="inlineStr">
        <is>
          <t>JAC</t>
        </is>
      </c>
      <c r="C10" s="2" t="inlineStr">
        <is>
          <t>B — مونتاژی</t>
        </is>
      </c>
      <c r="D10" s="2" t="n">
        <v>2</v>
      </c>
      <c r="E10" s="2" t="n">
        <v>0</v>
      </c>
      <c r="F10" s="2" t="n">
        <v>0</v>
      </c>
      <c r="G10" s="2" t="n">
        <v>1</v>
      </c>
      <c r="H10" s="2" t="n">
        <v>0</v>
      </c>
      <c r="I10" s="2" t="n">
        <v>0</v>
      </c>
      <c r="J10" s="2" t="n">
        <v>0</v>
      </c>
      <c r="K10" s="2" t="n">
        <v>0</v>
      </c>
      <c r="L10" s="2" t="n">
        <v>0</v>
      </c>
      <c r="M10" s="2" t="n">
        <v>0</v>
      </c>
      <c r="N10" s="2" t="n">
        <v>0</v>
      </c>
      <c r="O10" s="2" t="n">
        <v>1</v>
      </c>
    </row>
    <row r="11">
      <c r="A11" s="2" t="inlineStr">
        <is>
          <t>BR-011</t>
        </is>
      </c>
      <c r="B11" s="2" t="inlineStr">
        <is>
          <t>Hyundai</t>
        </is>
      </c>
      <c r="C11" s="2" t="inlineStr">
        <is>
          <t>C — وارداتی</t>
        </is>
      </c>
      <c r="D11" s="2" t="n">
        <v>5</v>
      </c>
      <c r="E11" s="2" t="n">
        <v>1</v>
      </c>
      <c r="F11" s="2" t="n">
        <v>0</v>
      </c>
      <c r="G11" s="2" t="n">
        <v>0</v>
      </c>
      <c r="H11" s="2" t="n">
        <v>1</v>
      </c>
      <c r="I11" s="2" t="n">
        <v>0</v>
      </c>
      <c r="J11" s="2" t="n">
        <v>0</v>
      </c>
      <c r="K11" s="2" t="n">
        <v>1</v>
      </c>
      <c r="L11" s="2" t="n">
        <v>0</v>
      </c>
      <c r="M11" s="2" t="n">
        <v>0</v>
      </c>
      <c r="N11" s="2" t="n">
        <v>0</v>
      </c>
      <c r="O11" s="2" t="n">
        <v>3</v>
      </c>
    </row>
    <row r="12">
      <c r="A12" s="2" t="inlineStr">
        <is>
          <t>BR-012</t>
        </is>
      </c>
      <c r="B12" s="2" t="inlineStr">
        <is>
          <t>Kia</t>
        </is>
      </c>
      <c r="C12" s="2" t="inlineStr">
        <is>
          <t>C — وارداتی</t>
        </is>
      </c>
      <c r="D12" s="2" t="n">
        <v>4</v>
      </c>
      <c r="E12" s="2" t="n">
        <v>1</v>
      </c>
      <c r="F12" s="2" t="n">
        <v>0</v>
      </c>
      <c r="G12" s="2" t="n">
        <v>0</v>
      </c>
      <c r="H12" s="2" t="n">
        <v>0</v>
      </c>
      <c r="I12" s="2" t="n">
        <v>0</v>
      </c>
      <c r="J12" s="2" t="n">
        <v>0</v>
      </c>
      <c r="K12" s="2" t="n">
        <v>1</v>
      </c>
      <c r="L12" s="2" t="n">
        <v>0</v>
      </c>
      <c r="M12" s="2" t="n">
        <v>0</v>
      </c>
      <c r="N12" s="2" t="n">
        <v>0</v>
      </c>
      <c r="O12" s="2" t="n">
        <v>2</v>
      </c>
    </row>
    <row r="13">
      <c r="A13" s="2" t="inlineStr">
        <is>
          <t>BR-013</t>
        </is>
      </c>
      <c r="B13" s="2" t="inlineStr">
        <is>
          <t>Fidelity / Dignity / Respect (برندهای گروه بهمن)</t>
        </is>
      </c>
      <c r="C13" s="2" t="inlineStr">
        <is>
          <t>B — مونتاژی</t>
        </is>
      </c>
      <c r="D13" s="2" t="n">
        <v>4</v>
      </c>
      <c r="E13" s="2" t="n">
        <v>2</v>
      </c>
      <c r="F13" s="2" t="n">
        <v>0</v>
      </c>
      <c r="G13" s="2" t="n">
        <v>2</v>
      </c>
      <c r="H13" s="2" t="n">
        <v>1</v>
      </c>
      <c r="I13" s="2" t="n">
        <v>0</v>
      </c>
      <c r="J13" s="2" t="n">
        <v>0</v>
      </c>
      <c r="K13" s="2" t="n">
        <v>0</v>
      </c>
      <c r="L13" s="2" t="n">
        <v>0</v>
      </c>
      <c r="M13" s="2" t="n">
        <v>0</v>
      </c>
      <c r="N13" s="2" t="n">
        <v>0</v>
      </c>
      <c r="O13" s="2" t="n">
        <v>3</v>
      </c>
    </row>
    <row r="14">
      <c r="A14" s="2" t="inlineStr">
        <is>
          <t>BR-015</t>
        </is>
      </c>
      <c r="B14" s="2" t="inlineStr">
        <is>
          <t>Haval / Shavaal</t>
        </is>
      </c>
      <c r="C14" s="2" t="inlineStr">
        <is>
          <t>B — مونتاژی</t>
        </is>
      </c>
      <c r="D14" s="2" t="n">
        <v>2</v>
      </c>
      <c r="E14" s="2" t="n">
        <v>1</v>
      </c>
      <c r="F14" s="2" t="n">
        <v>0</v>
      </c>
      <c r="G14" s="2" t="n">
        <v>1</v>
      </c>
      <c r="H14" s="2" t="n">
        <v>1</v>
      </c>
      <c r="I14" s="2" t="n">
        <v>0</v>
      </c>
      <c r="J14" s="2" t="n">
        <v>0</v>
      </c>
      <c r="K14" s="2" t="n">
        <v>0</v>
      </c>
      <c r="L14" s="2" t="n">
        <v>0</v>
      </c>
      <c r="M14" s="2" t="n">
        <v>0</v>
      </c>
      <c r="N14" s="2" t="n">
        <v>0</v>
      </c>
      <c r="O14" s="2" t="n">
        <v>3</v>
      </c>
    </row>
    <row r="15">
      <c r="A15" s="2" t="inlineStr">
        <is>
          <t>BR-016</t>
        </is>
      </c>
      <c r="B15" s="2" t="inlineStr">
        <is>
          <t>Renault</t>
        </is>
      </c>
      <c r="C15" s="2" t="inlineStr">
        <is>
          <t>C — وارداتی</t>
        </is>
      </c>
      <c r="D15" s="2" t="n">
        <v>2</v>
      </c>
      <c r="E15" s="2" t="n">
        <v>1</v>
      </c>
      <c r="F15" s="2" t="n">
        <v>0</v>
      </c>
      <c r="G15" s="2" t="n">
        <v>0</v>
      </c>
      <c r="H15" s="2" t="n">
        <v>2</v>
      </c>
      <c r="I15" s="2" t="n">
        <v>0</v>
      </c>
      <c r="J15" s="2" t="n">
        <v>0</v>
      </c>
      <c r="K15" s="2" t="n">
        <v>1</v>
      </c>
      <c r="L15" s="2" t="n">
        <v>0</v>
      </c>
      <c r="M15" s="2" t="n">
        <v>0</v>
      </c>
      <c r="N15" s="2" t="n">
        <v>0</v>
      </c>
      <c r="O15" s="2" t="n">
        <v>3</v>
      </c>
    </row>
    <row r="16">
      <c r="A16" s="2" t="inlineStr">
        <is>
          <t>BR-017</t>
        </is>
      </c>
      <c r="B16" s="2" t="inlineStr">
        <is>
          <t>ERES (SERES) / AITO</t>
        </is>
      </c>
      <c r="C16" s="2" t="inlineStr">
        <is>
          <t>B — مونتاژی</t>
        </is>
      </c>
      <c r="D16" s="2" t="n">
        <v>2</v>
      </c>
      <c r="E16" s="2" t="n">
        <v>1</v>
      </c>
      <c r="F16" s="2" t="n">
        <v>0</v>
      </c>
      <c r="G16" s="2" t="n">
        <v>0</v>
      </c>
      <c r="H16" s="2" t="n">
        <v>1</v>
      </c>
      <c r="I16" s="2" t="n">
        <v>0</v>
      </c>
      <c r="J16" s="2" t="n">
        <v>0</v>
      </c>
      <c r="K16" s="2" t="n">
        <v>0</v>
      </c>
      <c r="L16" s="2" t="n">
        <v>0</v>
      </c>
      <c r="M16" s="2" t="n">
        <v>0</v>
      </c>
      <c r="N16" s="2" t="n">
        <v>0</v>
      </c>
      <c r="O16" s="2" t="n">
        <v>2</v>
      </c>
    </row>
    <row r="17">
      <c r="A17" s="2" t="inlineStr">
        <is>
          <t>BR-018</t>
        </is>
      </c>
      <c r="B17" s="2" t="inlineStr">
        <is>
          <t>Lukano (مکث موتور)</t>
        </is>
      </c>
      <c r="C17" s="2" t="inlineStr">
        <is>
          <t>B — مونتاژی</t>
        </is>
      </c>
      <c r="D17" s="2" t="n">
        <v>1</v>
      </c>
      <c r="E17" s="2" t="n">
        <v>1</v>
      </c>
      <c r="F17" s="2" t="n">
        <v>0</v>
      </c>
      <c r="G17" s="2" t="n">
        <v>0</v>
      </c>
      <c r="H17" s="2" t="n">
        <v>0</v>
      </c>
      <c r="I17" s="2" t="n">
        <v>0</v>
      </c>
      <c r="J17" s="2" t="n">
        <v>0</v>
      </c>
      <c r="K17" s="2" t="n">
        <v>0</v>
      </c>
      <c r="L17" s="2" t="n">
        <v>0</v>
      </c>
      <c r="M17" s="2" t="n">
        <v>0</v>
      </c>
      <c r="N17" s="2" t="n">
        <v>0</v>
      </c>
      <c r="O17" s="2" t="n">
        <v>1</v>
      </c>
    </row>
    <row r="18">
      <c r="A18" s="2" t="inlineStr">
        <is>
          <t>BR-019</t>
        </is>
      </c>
      <c r="B18" s="2" t="inlineStr">
        <is>
          <t>Lamari</t>
        </is>
      </c>
      <c r="C18" s="2" t="inlineStr">
        <is>
          <t>B — مونتاژی</t>
        </is>
      </c>
      <c r="D18" s="2" t="n">
        <v>2</v>
      </c>
      <c r="E18" s="2" t="n">
        <v>0</v>
      </c>
      <c r="F18" s="2" t="n">
        <v>0</v>
      </c>
      <c r="G18" s="2" t="n">
        <v>0</v>
      </c>
      <c r="H18" s="2" t="n">
        <v>1</v>
      </c>
      <c r="I18" s="2" t="n">
        <v>0</v>
      </c>
      <c r="J18" s="2" t="n">
        <v>0</v>
      </c>
      <c r="K18" s="2" t="n">
        <v>1</v>
      </c>
      <c r="L18" s="2" t="n">
        <v>0</v>
      </c>
      <c r="M18" s="2" t="n">
        <v>0</v>
      </c>
      <c r="N18" s="2" t="n">
        <v>0</v>
      </c>
      <c r="O18" s="2" t="n">
        <v>2</v>
      </c>
    </row>
    <row r="19">
      <c r="A19" s="2" t="inlineStr">
        <is>
          <t>BR-020</t>
        </is>
      </c>
      <c r="B19" s="2" t="inlineStr">
        <is>
          <t>Changan</t>
        </is>
      </c>
      <c r="C19" s="2" t="inlineStr">
        <is>
          <t>B — مونتاژی</t>
        </is>
      </c>
      <c r="D19" s="2" t="n">
        <v>2</v>
      </c>
      <c r="E19" s="2" t="n">
        <v>0</v>
      </c>
      <c r="F19" s="2" t="n">
        <v>0</v>
      </c>
      <c r="G19" s="2" t="n">
        <v>2</v>
      </c>
      <c r="H19" s="2" t="n">
        <v>0</v>
      </c>
      <c r="I19" s="2" t="n">
        <v>0</v>
      </c>
      <c r="J19" s="2" t="n">
        <v>0</v>
      </c>
      <c r="K19" s="2" t="n">
        <v>0</v>
      </c>
      <c r="L19" s="2" t="n">
        <v>0</v>
      </c>
      <c r="M19" s="2" t="n">
        <v>0</v>
      </c>
      <c r="N19" s="2" t="n">
        <v>0</v>
      </c>
      <c r="O19" s="2" t="n">
        <v>1</v>
      </c>
    </row>
    <row r="20">
      <c r="A20" s="2" t="inlineStr">
        <is>
          <t>BR-021</t>
        </is>
      </c>
      <c r="B20" s="2" t="inlineStr">
        <is>
          <t>Tisan (ری‌بج Jetour)</t>
        </is>
      </c>
      <c r="C20" s="2" t="inlineStr">
        <is>
          <t>B — مونتاژی</t>
        </is>
      </c>
      <c r="D20" s="2" t="n">
        <v>3</v>
      </c>
      <c r="E20" s="2" t="n">
        <v>1</v>
      </c>
      <c r="F20" s="2" t="n">
        <v>2</v>
      </c>
      <c r="G20" s="2" t="n">
        <v>0</v>
      </c>
      <c r="H20" s="2" t="n">
        <v>2</v>
      </c>
      <c r="I20" s="2" t="n">
        <v>0</v>
      </c>
      <c r="J20" s="2" t="n">
        <v>0</v>
      </c>
      <c r="K20" s="2" t="n">
        <v>0</v>
      </c>
      <c r="L20" s="2" t="n">
        <v>1</v>
      </c>
      <c r="M20" s="2" t="n">
        <v>0</v>
      </c>
      <c r="N20" s="2" t="n">
        <v>0</v>
      </c>
      <c r="O20" s="2" t="n">
        <v>4</v>
      </c>
    </row>
    <row r="21">
      <c r="A21" s="2" t="inlineStr">
        <is>
          <t>BR-022</t>
        </is>
      </c>
      <c r="B21" s="2" t="inlineStr">
        <is>
          <t>BYD</t>
        </is>
      </c>
      <c r="C21" s="2" t="inlineStr">
        <is>
          <t>C — وارداتی</t>
        </is>
      </c>
      <c r="D21" s="2" t="n">
        <v>3</v>
      </c>
      <c r="E21" s="2" t="n">
        <v>0</v>
      </c>
      <c r="F21" s="2" t="n">
        <v>0</v>
      </c>
      <c r="G21" s="2" t="n">
        <v>0</v>
      </c>
      <c r="H21" s="2" t="n">
        <v>0</v>
      </c>
      <c r="I21" s="2" t="n">
        <v>0</v>
      </c>
      <c r="J21" s="2" t="n">
        <v>0</v>
      </c>
      <c r="K21" s="2" t="n">
        <v>1</v>
      </c>
      <c r="L21" s="2" t="n">
        <v>0</v>
      </c>
      <c r="M21" s="2" t="n">
        <v>0</v>
      </c>
      <c r="N21" s="2" t="n">
        <v>0</v>
      </c>
      <c r="O21" s="2" t="n">
        <v>1</v>
      </c>
    </row>
    <row r="22">
      <c r="A22" s="2" t="inlineStr">
        <is>
          <t>BR-023</t>
        </is>
      </c>
      <c r="B22" s="2" t="inlineStr">
        <is>
          <t>Citroën</t>
        </is>
      </c>
      <c r="C22" s="2" t="inlineStr">
        <is>
          <t>B — مونتاژی</t>
        </is>
      </c>
      <c r="D22" s="2" t="n">
        <v>1</v>
      </c>
      <c r="E22" s="2" t="n">
        <v>0</v>
      </c>
      <c r="F22" s="2" t="n">
        <v>0</v>
      </c>
      <c r="G22" s="2" t="n">
        <v>1</v>
      </c>
      <c r="H22" s="2" t="n">
        <v>0</v>
      </c>
      <c r="I22" s="2" t="n">
        <v>0</v>
      </c>
      <c r="J22" s="2" t="n">
        <v>0</v>
      </c>
      <c r="K22" s="2" t="n">
        <v>0</v>
      </c>
      <c r="L22" s="2" t="n">
        <v>0</v>
      </c>
      <c r="M22" s="2" t="n">
        <v>0</v>
      </c>
      <c r="N22" s="2" t="n">
        <v>0</v>
      </c>
      <c r="O22" s="2" t="n">
        <v>1</v>
      </c>
    </row>
    <row r="23">
      <c r="A23" s="2" t="inlineStr">
        <is>
          <t>BR-025</t>
        </is>
      </c>
      <c r="B23" s="2" t="inlineStr">
        <is>
          <t>Toyota</t>
        </is>
      </c>
      <c r="C23" s="2" t="inlineStr">
        <is>
          <t>C — وارداتی</t>
        </is>
      </c>
      <c r="D23" s="2" t="n">
        <v>2</v>
      </c>
      <c r="E23" s="2" t="n">
        <v>0</v>
      </c>
      <c r="F23" s="2" t="n">
        <v>0</v>
      </c>
      <c r="G23" s="2" t="n">
        <v>0</v>
      </c>
      <c r="H23" s="2" t="n">
        <v>0</v>
      </c>
      <c r="I23" s="2" t="n">
        <v>0</v>
      </c>
      <c r="J23" s="2" t="n">
        <v>0</v>
      </c>
      <c r="K23" s="2" t="n">
        <v>0</v>
      </c>
      <c r="L23" s="2" t="n">
        <v>0</v>
      </c>
      <c r="M23" s="2" t="n">
        <v>0</v>
      </c>
      <c r="N23" s="2" t="n">
        <v>0</v>
      </c>
      <c r="O23" s="2" t="n">
        <v>0</v>
      </c>
    </row>
    <row r="24">
      <c r="A24" s="2" t="inlineStr">
        <is>
          <t>BR-026</t>
        </is>
      </c>
      <c r="B24" s="2" t="inlineStr">
        <is>
          <t>Nissan</t>
        </is>
      </c>
      <c r="C24" s="2" t="inlineStr">
        <is>
          <t>C — وارداتی</t>
        </is>
      </c>
      <c r="D24" s="2" t="n">
        <v>2</v>
      </c>
      <c r="E24" s="2" t="n">
        <v>1</v>
      </c>
      <c r="F24" s="2" t="n">
        <v>0</v>
      </c>
      <c r="G24" s="2" t="n">
        <v>1</v>
      </c>
      <c r="H24" s="2" t="n">
        <v>1</v>
      </c>
      <c r="I24" s="2" t="n">
        <v>0</v>
      </c>
      <c r="J24" s="2" t="n">
        <v>0</v>
      </c>
      <c r="K24" s="2" t="n">
        <v>0</v>
      </c>
      <c r="L24" s="2" t="n">
        <v>0</v>
      </c>
      <c r="M24" s="2" t="n">
        <v>0</v>
      </c>
      <c r="N24" s="2" t="n">
        <v>0</v>
      </c>
      <c r="O24" s="2" t="n">
        <v>3</v>
      </c>
    </row>
    <row r="25">
      <c r="A25" s="2" t="inlineStr">
        <is>
          <t>BR-027</t>
        </is>
      </c>
      <c r="B25" s="2" t="inlineStr">
        <is>
          <t>Opel</t>
        </is>
      </c>
      <c r="C25" s="2" t="inlineStr">
        <is>
          <t>C — وارداتی</t>
        </is>
      </c>
      <c r="D25" s="2" t="n">
        <v>1</v>
      </c>
      <c r="E25" s="2" t="n">
        <v>1</v>
      </c>
      <c r="F25" s="2" t="n">
        <v>0</v>
      </c>
      <c r="G25" s="2" t="n">
        <v>0</v>
      </c>
      <c r="H25" s="2" t="n">
        <v>0</v>
      </c>
      <c r="I25" s="2" t="n">
        <v>0</v>
      </c>
      <c r="J25" s="2" t="n">
        <v>0</v>
      </c>
      <c r="K25" s="2" t="n">
        <v>0</v>
      </c>
      <c r="L25" s="2" t="n">
        <v>0</v>
      </c>
      <c r="M25" s="2" t="n">
        <v>0</v>
      </c>
      <c r="N25" s="2" t="n">
        <v>0</v>
      </c>
      <c r="O25" s="2" t="n">
        <v>1</v>
      </c>
    </row>
    <row r="26">
      <c r="A26" s="2" t="inlineStr">
        <is>
          <t>BR-028</t>
        </is>
      </c>
      <c r="B26" s="2" t="inlineStr">
        <is>
          <t>Mazda</t>
        </is>
      </c>
      <c r="C26" s="2" t="inlineStr">
        <is>
          <t>C — وارداتی</t>
        </is>
      </c>
      <c r="D26" s="2" t="n">
        <v>2</v>
      </c>
      <c r="E26" s="2" t="n">
        <v>2</v>
      </c>
      <c r="F26" s="2" t="n">
        <v>0</v>
      </c>
      <c r="G26" s="2" t="n">
        <v>0</v>
      </c>
      <c r="H26" s="2" t="n">
        <v>1</v>
      </c>
      <c r="I26" s="2" t="n">
        <v>0</v>
      </c>
      <c r="J26" s="2" t="n">
        <v>0</v>
      </c>
      <c r="K26" s="2" t="n">
        <v>0</v>
      </c>
      <c r="L26" s="2" t="n">
        <v>0</v>
      </c>
      <c r="M26" s="2" t="n">
        <v>0</v>
      </c>
      <c r="N26" s="2" t="n">
        <v>0</v>
      </c>
      <c r="O26" s="2" t="n">
        <v>2</v>
      </c>
    </row>
    <row r="27">
      <c r="A27" s="2" t="inlineStr">
        <is>
          <t>BR-029</t>
        </is>
      </c>
      <c r="B27" s="2" t="inlineStr">
        <is>
          <t>Volvo</t>
        </is>
      </c>
      <c r="C27" s="2" t="inlineStr">
        <is>
          <t>C — وارداتی</t>
        </is>
      </c>
      <c r="D27" s="2" t="n">
        <v>1</v>
      </c>
      <c r="E27" s="2" t="n">
        <v>1</v>
      </c>
      <c r="F27" s="2" t="n">
        <v>0</v>
      </c>
      <c r="G27" s="2" t="n">
        <v>0</v>
      </c>
      <c r="H27" s="2" t="n">
        <v>1</v>
      </c>
      <c r="I27" s="2" t="n">
        <v>0</v>
      </c>
      <c r="J27" s="2" t="n">
        <v>0</v>
      </c>
      <c r="K27" s="2" t="n">
        <v>0</v>
      </c>
      <c r="L27" s="2" t="n">
        <v>0</v>
      </c>
      <c r="M27" s="2" t="n">
        <v>0</v>
      </c>
      <c r="N27" s="2" t="n">
        <v>0</v>
      </c>
      <c r="O27" s="2" t="n">
        <v>2</v>
      </c>
    </row>
    <row r="28">
      <c r="A28" s="2" t="inlineStr">
        <is>
          <t>BR-030</t>
        </is>
      </c>
      <c r="B28" s="2" t="inlineStr">
        <is>
          <t>Audi</t>
        </is>
      </c>
      <c r="C28" s="2" t="inlineStr">
        <is>
          <t>C — وارداتی</t>
        </is>
      </c>
      <c r="D28" s="2" t="n">
        <v>1</v>
      </c>
      <c r="E28" s="2" t="n">
        <v>1</v>
      </c>
      <c r="F28" s="2" t="n">
        <v>0</v>
      </c>
      <c r="G28" s="2" t="n">
        <v>0</v>
      </c>
      <c r="H28" s="2" t="n">
        <v>0</v>
      </c>
      <c r="I28" s="2" t="n">
        <v>0</v>
      </c>
      <c r="J28" s="2" t="n">
        <v>0</v>
      </c>
      <c r="K28" s="2" t="n">
        <v>0</v>
      </c>
      <c r="L28" s="2" t="n">
        <v>0</v>
      </c>
      <c r="M28" s="2" t="n">
        <v>0</v>
      </c>
      <c r="N28" s="2" t="n">
        <v>0</v>
      </c>
      <c r="O28" s="2" t="n">
        <v>1</v>
      </c>
    </row>
    <row r="29">
      <c r="A29" s="2" t="inlineStr">
        <is>
          <t>BR-031</t>
        </is>
      </c>
      <c r="B29" s="2" t="inlineStr">
        <is>
          <t>Mercedes-Benz</t>
        </is>
      </c>
      <c r="C29" s="2" t="inlineStr">
        <is>
          <t>C — وارداتی</t>
        </is>
      </c>
      <c r="D29" s="2" t="n">
        <v>1</v>
      </c>
      <c r="E29" s="2" t="n">
        <v>1</v>
      </c>
      <c r="F29" s="2" t="n">
        <v>0</v>
      </c>
      <c r="G29" s="2" t="n">
        <v>0</v>
      </c>
      <c r="H29" s="2" t="n">
        <v>1</v>
      </c>
      <c r="I29" s="2" t="n">
        <v>0</v>
      </c>
      <c r="J29" s="2" t="n">
        <v>0</v>
      </c>
      <c r="K29" s="2" t="n">
        <v>0</v>
      </c>
      <c r="L29" s="2" t="n">
        <v>0</v>
      </c>
      <c r="M29" s="2" t="n">
        <v>0</v>
      </c>
      <c r="N29" s="2" t="n">
        <v>1</v>
      </c>
      <c r="O29" s="2" t="n">
        <v>3</v>
      </c>
    </row>
    <row r="30">
      <c r="A30" s="2" t="inlineStr">
        <is>
          <t>BR-032</t>
        </is>
      </c>
      <c r="B30" s="2" t="inlineStr">
        <is>
          <t>Leapmotor / Tank (GWM)</t>
        </is>
      </c>
      <c r="C30" s="2" t="inlineStr">
        <is>
          <t>C — وارداتی</t>
        </is>
      </c>
      <c r="D30" s="2" t="n">
        <v>1</v>
      </c>
      <c r="E30" s="2" t="n">
        <v>1</v>
      </c>
      <c r="F30" s="2" t="n">
        <v>0</v>
      </c>
      <c r="G30" s="2" t="n">
        <v>0</v>
      </c>
      <c r="H30" s="2" t="n">
        <v>0</v>
      </c>
      <c r="I30" s="2" t="n">
        <v>0</v>
      </c>
      <c r="J30" s="2" t="n">
        <v>0</v>
      </c>
      <c r="K30" s="2" t="n">
        <v>0</v>
      </c>
      <c r="L30" s="2" t="n">
        <v>0</v>
      </c>
      <c r="M30" s="2" t="n">
        <v>0</v>
      </c>
      <c r="N30" s="2" t="n">
        <v>0</v>
      </c>
      <c r="O30" s="2" t="n">
        <v>1</v>
      </c>
    </row>
    <row r="31">
      <c r="A31" s="2" t="inlineStr">
        <is>
          <t>BR-033</t>
        </is>
      </c>
      <c r="B31" s="2" t="inlineStr">
        <is>
          <t>Suzuki</t>
        </is>
      </c>
      <c r="C31" s="2" t="inlineStr">
        <is>
          <t>C — وارداتی</t>
        </is>
      </c>
      <c r="D31" s="2" t="n">
        <v>1</v>
      </c>
      <c r="E31" s="2" t="n">
        <v>0</v>
      </c>
      <c r="F31" s="2" t="n">
        <v>0</v>
      </c>
      <c r="G31" s="2" t="n">
        <v>0</v>
      </c>
      <c r="H31" s="2" t="n">
        <v>0</v>
      </c>
      <c r="I31" s="2" t="n">
        <v>0</v>
      </c>
      <c r="J31" s="2" t="n">
        <v>0</v>
      </c>
      <c r="K31" s="2" t="n">
        <v>0</v>
      </c>
      <c r="L31" s="2" t="n">
        <v>0</v>
      </c>
      <c r="M31" s="2" t="n">
        <v>0</v>
      </c>
      <c r="N31" s="2" t="n">
        <v>0</v>
      </c>
      <c r="O31" s="2" t="n">
        <v>0</v>
      </c>
    </row>
    <row r="32">
      <c r="A32" s="2" t="inlineStr">
        <is>
          <t>BR-034</t>
        </is>
      </c>
      <c r="B32" s="2" t="inlineStr">
        <is>
          <t>Skywell</t>
        </is>
      </c>
      <c r="C32" s="2" t="inlineStr">
        <is>
          <t>C — وارداتی</t>
        </is>
      </c>
      <c r="D32" s="2" t="n">
        <v>1</v>
      </c>
      <c r="E32" s="2" t="n">
        <v>0</v>
      </c>
      <c r="F32" s="2" t="n">
        <v>0</v>
      </c>
      <c r="G32" s="2" t="n">
        <v>0</v>
      </c>
      <c r="H32" s="2" t="n">
        <v>0</v>
      </c>
      <c r="I32" s="2" t="n">
        <v>0</v>
      </c>
      <c r="J32" s="2" t="n">
        <v>0</v>
      </c>
      <c r="K32" s="2" t="n">
        <v>0</v>
      </c>
      <c r="L32" s="2" t="n">
        <v>0</v>
      </c>
      <c r="M32" s="2" t="n">
        <v>0</v>
      </c>
      <c r="N32" s="2" t="n">
        <v>0</v>
      </c>
      <c r="O32" s="2" t="n">
        <v>0</v>
      </c>
    </row>
    <row r="33">
      <c r="A33" s="2" t="inlineStr">
        <is>
          <t>BR-035</t>
        </is>
      </c>
      <c r="B33" s="2" t="inlineStr">
        <is>
          <t>Skoda</t>
        </is>
      </c>
      <c r="C33" s="2" t="inlineStr">
        <is>
          <t>C — وارداتی</t>
        </is>
      </c>
      <c r="D33" s="2" t="n">
        <v>1</v>
      </c>
      <c r="E33" s="2" t="n">
        <v>0</v>
      </c>
      <c r="F33" s="2" t="n">
        <v>0</v>
      </c>
      <c r="G33" s="2" t="n">
        <v>0</v>
      </c>
      <c r="H33" s="2" t="n">
        <v>0</v>
      </c>
      <c r="I33" s="2" t="n">
        <v>0</v>
      </c>
      <c r="J33" s="2" t="n">
        <v>0</v>
      </c>
      <c r="K33" s="2" t="n">
        <v>0</v>
      </c>
      <c r="L33" s="2" t="n">
        <v>0</v>
      </c>
      <c r="M33" s="2" t="n">
        <v>0</v>
      </c>
      <c r="N33" s="2" t="n">
        <v>0</v>
      </c>
      <c r="O33" s="2" t="n">
        <v>0</v>
      </c>
    </row>
    <row r="34">
      <c r="A34" s="2" t="inlineStr">
        <is>
          <t>BR-036</t>
        </is>
      </c>
      <c r="B34" s="2" t="inlineStr">
        <is>
          <t>Dacia</t>
        </is>
      </c>
      <c r="C34" s="2" t="inlineStr">
        <is>
          <t>C — وارداتی</t>
        </is>
      </c>
      <c r="D34" s="2" t="n">
        <v>1</v>
      </c>
      <c r="E34" s="2" t="n">
        <v>0</v>
      </c>
      <c r="F34" s="2" t="n">
        <v>0</v>
      </c>
      <c r="G34" s="2" t="n">
        <v>0</v>
      </c>
      <c r="H34" s="2" t="n">
        <v>0</v>
      </c>
      <c r="I34" s="2" t="n">
        <v>0</v>
      </c>
      <c r="J34" s="2" t="n">
        <v>0</v>
      </c>
      <c r="K34" s="2" t="n">
        <v>0</v>
      </c>
      <c r="L34" s="2" t="n">
        <v>0</v>
      </c>
      <c r="M34" s="2" t="n">
        <v>0</v>
      </c>
      <c r="N34" s="2" t="n">
        <v>0</v>
      </c>
      <c r="O34" s="2" t="n">
        <v>0</v>
      </c>
    </row>
    <row r="35">
      <c r="A35" s="2" t="inlineStr">
        <is>
          <t>BR-046</t>
        </is>
      </c>
      <c r="B35" s="2" t="inlineStr">
        <is>
          <t>Jetour (برند اصلی)</t>
        </is>
      </c>
      <c r="C35" s="2" t="inlineStr">
        <is>
          <t>C — وارداتی</t>
        </is>
      </c>
      <c r="D35" s="2" t="n">
        <v>1</v>
      </c>
      <c r="E35" s="2" t="n">
        <v>0</v>
      </c>
      <c r="F35" s="2" t="n">
        <v>1</v>
      </c>
      <c r="G35" s="2" t="n">
        <v>0</v>
      </c>
      <c r="H35" s="2" t="n">
        <v>1</v>
      </c>
      <c r="I35" s="2" t="n">
        <v>0</v>
      </c>
      <c r="J35" s="2" t="n">
        <v>0</v>
      </c>
      <c r="K35" s="2" t="n">
        <v>0</v>
      </c>
      <c r="L35" s="2" t="n">
        <v>1</v>
      </c>
      <c r="M35" s="2" t="n">
        <v>0</v>
      </c>
      <c r="N35" s="2" t="n">
        <v>0</v>
      </c>
      <c r="O35" s="2" t="n">
        <v>3</v>
      </c>
    </row>
    <row r="36">
      <c r="A36" s="2" t="inlineStr">
        <is>
          <t>BR-047</t>
        </is>
      </c>
      <c r="B36" s="2" t="inlineStr">
        <is>
          <t>Mars (طبق اطلاعیه اتونوین)</t>
        </is>
      </c>
      <c r="C36" s="2" t="inlineStr">
        <is>
          <t>C — وارداتی</t>
        </is>
      </c>
      <c r="D36" s="2" t="n">
        <v>1</v>
      </c>
      <c r="E36" s="2" t="n">
        <v>0</v>
      </c>
      <c r="F36" s="2" t="n">
        <v>0</v>
      </c>
      <c r="G36" s="2" t="n">
        <v>0</v>
      </c>
      <c r="H36" s="2" t="n">
        <v>0</v>
      </c>
      <c r="I36" s="2" t="n">
        <v>0</v>
      </c>
      <c r="J36" s="2" t="n">
        <v>0</v>
      </c>
      <c r="K36" s="2" t="n">
        <v>0</v>
      </c>
      <c r="L36" s="2" t="n">
        <v>0</v>
      </c>
      <c r="M36" s="2" t="n">
        <v>0</v>
      </c>
      <c r="N36" s="2" t="n">
        <v>0</v>
      </c>
      <c r="O36" s="2" t="n">
        <v>0</v>
      </c>
    </row>
    <row r="37">
      <c r="A37" s="2" t="inlineStr">
        <is>
          <t>ECO-001</t>
        </is>
      </c>
      <c r="B37" s="2" t="inlineStr">
        <is>
          <t>خودرو۴۵ (پلتفرم خرید و فروش خودرو)</t>
        </is>
      </c>
      <c r="C37" s="2" t="inlineStr">
        <is>
          <t>X — اکوسیستم</t>
        </is>
      </c>
      <c r="D37" s="2" t="n">
        <v>1</v>
      </c>
      <c r="E37" s="2" t="n">
        <v>0</v>
      </c>
      <c r="F37" s="2" t="n">
        <v>0</v>
      </c>
      <c r="G37" s="2" t="n">
        <v>0</v>
      </c>
      <c r="H37" s="2" t="n">
        <v>0</v>
      </c>
      <c r="I37" s="2" t="n">
        <v>1</v>
      </c>
      <c r="J37" s="2" t="n">
        <v>0</v>
      </c>
      <c r="K37" s="2" t="n">
        <v>0</v>
      </c>
      <c r="L37" s="2" t="n">
        <v>0</v>
      </c>
      <c r="M37" s="2" t="n">
        <v>0</v>
      </c>
      <c r="N37" s="2" t="n">
        <v>0</v>
      </c>
      <c r="O37" s="2" t="n">
        <v>1</v>
      </c>
    </row>
    <row r="38">
      <c r="A38" s="2" t="inlineStr">
        <is>
          <t>ECO-002</t>
        </is>
      </c>
      <c r="B38" s="2" t="inlineStr">
        <is>
          <t>کاسپین (روانکار/محصولات خودرویی)</t>
        </is>
      </c>
      <c r="C38" s="2" t="inlineStr">
        <is>
          <t>X — اکوسیستم</t>
        </is>
      </c>
      <c r="D38" s="2" t="n">
        <v>1</v>
      </c>
      <c r="E38" s="2" t="n">
        <v>0</v>
      </c>
      <c r="F38" s="2" t="n">
        <v>0</v>
      </c>
      <c r="G38" s="2" t="n">
        <v>0</v>
      </c>
      <c r="H38" s="2" t="n">
        <v>0</v>
      </c>
      <c r="I38" s="2" t="n">
        <v>1</v>
      </c>
      <c r="J38" s="2" t="n">
        <v>0</v>
      </c>
      <c r="K38" s="2" t="n">
        <v>0</v>
      </c>
      <c r="L38" s="2" t="n">
        <v>0</v>
      </c>
      <c r="M38" s="2" t="n">
        <v>0</v>
      </c>
      <c r="N38" s="2" t="n">
        <v>0</v>
      </c>
      <c r="O38" s="2" t="n">
        <v>1</v>
      </c>
    </row>
    <row r="41">
      <c r="A41" s="5" t="inlineStr">
        <is>
          <t>ماتریس برند × زمان (ماه شروع رکورد؛ بر اساس تاریخ میلادی یا ماه شمسی ذکرشده)</t>
        </is>
      </c>
    </row>
    <row r="42">
      <c r="A42" s="6" t="inlineStr">
        <is>
          <t>Brand_ID</t>
        </is>
      </c>
      <c r="B42" s="6" t="inlineStr">
        <is>
          <t>برند</t>
        </is>
      </c>
      <c r="C42" s="7" t="inlineStr">
        <is>
          <t>2025-10
مهر/آبان ۱۴۰۴</t>
        </is>
      </c>
      <c r="D42" s="7" t="inlineStr">
        <is>
          <t>2025-11
آبان/آذر</t>
        </is>
      </c>
      <c r="E42" s="7" t="inlineStr">
        <is>
          <t>2025-12
آذر/دی</t>
        </is>
      </c>
      <c r="F42" s="7" t="inlineStr">
        <is>
          <t>2026-01
دی/بهمن</t>
        </is>
      </c>
      <c r="G42" s="7" t="inlineStr">
        <is>
          <t>2026-02
بهمن/اسفند</t>
        </is>
      </c>
      <c r="H42" s="7" t="inlineStr">
        <is>
          <t>2026-03
اسفند/فروردین</t>
        </is>
      </c>
      <c r="I42" s="7" t="inlineStr">
        <is>
          <t>2026-04
فروردین/اردیبهشت</t>
        </is>
      </c>
      <c r="J42" s="7" t="inlineStr">
        <is>
          <t>2026-05
اردیبهشت/خرداد</t>
        </is>
      </c>
      <c r="K42" s="7" t="inlineStr">
        <is>
          <t>2026-06
خرداد/تیر</t>
        </is>
      </c>
      <c r="L42" s="7" t="inlineStr">
        <is>
          <t>2026-07
تیر/مرداد</t>
        </is>
      </c>
      <c r="M42" s="7" t="inlineStr">
        <is>
          <t>2026-08
مرداد/شهریور</t>
        </is>
      </c>
      <c r="N42" s="7" t="inlineStr">
        <is>
          <t>2026-09
شهریور/مهر</t>
        </is>
      </c>
      <c r="O42" s="7" t="inlineStr">
        <is>
          <t>2026-10
مهر ۱۴۰۵</t>
        </is>
      </c>
    </row>
    <row r="43">
      <c r="A43" s="8" t="inlineStr">
        <is>
          <t>BR-001</t>
        </is>
      </c>
      <c r="B43" s="8" t="inlineStr">
        <is>
          <t>ایران خودرو (IKCO) — تارا، ری‌را، دنا، سورن، پژو ۲۰۷</t>
        </is>
      </c>
      <c r="C43" s="8" t="n">
        <v>1</v>
      </c>
      <c r="N43" s="8" t="n">
        <v>3</v>
      </c>
      <c r="O43" s="8" t="n">
        <v>1</v>
      </c>
    </row>
    <row r="44">
      <c r="A44" s="8" t="inlineStr">
        <is>
          <t>BR-002</t>
        </is>
      </c>
      <c r="B44" s="8" t="inlineStr">
        <is>
          <t>ایکو پرمیوم / سفیر (زیربرند ایران خودرو)</t>
        </is>
      </c>
      <c r="N44" s="8" t="n">
        <v>2</v>
      </c>
    </row>
    <row r="45">
      <c r="A45" s="8" t="inlineStr">
        <is>
          <t>BR-003</t>
        </is>
      </c>
      <c r="B45" s="8" t="inlineStr">
        <is>
          <t>سایپا — شاهین، آریا، اطلس، ساینا، کوییک، ۱۵۱</t>
        </is>
      </c>
      <c r="D45" s="8" t="n">
        <v>1</v>
      </c>
      <c r="E45" s="8" t="n">
        <v>1</v>
      </c>
      <c r="G45" s="8" t="n">
        <v>1</v>
      </c>
      <c r="M45" s="8" t="n">
        <v>2</v>
      </c>
      <c r="N45" s="8" t="n">
        <v>1</v>
      </c>
      <c r="O45" s="8" t="n">
        <v>1</v>
      </c>
    </row>
    <row r="46">
      <c r="A46" s="8" t="inlineStr">
        <is>
          <t>BR-004</t>
        </is>
      </c>
      <c r="B46" s="8" t="inlineStr">
        <is>
          <t>پارس خودرو (گروه سایپا)</t>
        </is>
      </c>
      <c r="M46" s="8" t="n">
        <v>1</v>
      </c>
    </row>
    <row r="47">
      <c r="A47" s="8" t="inlineStr">
        <is>
          <t>BR-006</t>
        </is>
      </c>
      <c r="B47" s="8" t="inlineStr">
        <is>
          <t>MVM</t>
        </is>
      </c>
      <c r="E47" s="8" t="n">
        <v>1</v>
      </c>
      <c r="M47" s="8" t="n">
        <v>1</v>
      </c>
      <c r="N47" s="8" t="n">
        <v>1</v>
      </c>
    </row>
    <row r="48">
      <c r="A48" s="8" t="inlineStr">
        <is>
          <t>BR-007</t>
        </is>
      </c>
      <c r="B48" s="8" t="inlineStr">
        <is>
          <t>FOWNIX / Fownix NEV</t>
        </is>
      </c>
      <c r="D48" s="8" t="n">
        <v>1</v>
      </c>
      <c r="E48" s="8" t="n">
        <v>1</v>
      </c>
      <c r="M48" s="8" t="n">
        <v>1</v>
      </c>
      <c r="N48" s="8" t="n">
        <v>1</v>
      </c>
    </row>
    <row r="49">
      <c r="A49" s="8" t="inlineStr">
        <is>
          <t>BR-008</t>
        </is>
      </c>
      <c r="B49" s="8" t="inlineStr">
        <is>
          <t>XTRIM (EXEED)</t>
        </is>
      </c>
      <c r="M49" s="8" t="n">
        <v>1</v>
      </c>
      <c r="N49" s="8" t="n">
        <v>1</v>
      </c>
    </row>
    <row r="50">
      <c r="A50" s="8" t="inlineStr">
        <is>
          <t>BR-009</t>
        </is>
      </c>
      <c r="B50" s="8" t="inlineStr">
        <is>
          <t>KMC</t>
        </is>
      </c>
      <c r="D50" s="8" t="n">
        <v>2</v>
      </c>
      <c r="F50" s="8" t="n">
        <v>1</v>
      </c>
    </row>
    <row r="51">
      <c r="A51" s="8" t="inlineStr">
        <is>
          <t>BR-010</t>
        </is>
      </c>
      <c r="B51" s="8" t="inlineStr">
        <is>
          <t>JAC</t>
        </is>
      </c>
      <c r="D51" s="8" t="n">
        <v>2</v>
      </c>
    </row>
    <row r="52">
      <c r="A52" s="8" t="inlineStr">
        <is>
          <t>BR-011</t>
        </is>
      </c>
      <c r="B52" s="8" t="inlineStr">
        <is>
          <t>Hyundai</t>
        </is>
      </c>
      <c r="D52" s="8" t="n">
        <v>2</v>
      </c>
      <c r="G52" s="8" t="n">
        <v>1</v>
      </c>
      <c r="N52" s="8" t="n">
        <v>1</v>
      </c>
      <c r="O52" s="8" t="n">
        <v>1</v>
      </c>
    </row>
    <row r="53">
      <c r="A53" s="8" t="inlineStr">
        <is>
          <t>BR-012</t>
        </is>
      </c>
      <c r="B53" s="8" t="inlineStr">
        <is>
          <t>Kia</t>
        </is>
      </c>
      <c r="D53" s="8" t="n">
        <v>1</v>
      </c>
      <c r="I53" s="8" t="n">
        <v>1</v>
      </c>
      <c r="N53" s="8" t="n">
        <v>1</v>
      </c>
      <c r="O53" s="8" t="n">
        <v>1</v>
      </c>
    </row>
    <row r="54">
      <c r="A54" s="8" t="inlineStr">
        <is>
          <t>BR-013</t>
        </is>
      </c>
      <c r="B54" s="8" t="inlineStr">
        <is>
          <t>Fidelity / Dignity / Respect (برندهای گروه بهمن)</t>
        </is>
      </c>
      <c r="C54" s="8" t="n">
        <v>1</v>
      </c>
      <c r="D54" s="8" t="n">
        <v>1</v>
      </c>
      <c r="M54" s="8" t="n">
        <v>1</v>
      </c>
      <c r="N54" s="8" t="n">
        <v>1</v>
      </c>
    </row>
    <row r="55">
      <c r="A55" s="8" t="inlineStr">
        <is>
          <t>BR-015</t>
        </is>
      </c>
      <c r="B55" s="8" t="inlineStr">
        <is>
          <t>Haval / Shavaal</t>
        </is>
      </c>
      <c r="H55" s="8" t="n">
        <v>1</v>
      </c>
      <c r="N55" s="8" t="n">
        <v>1</v>
      </c>
    </row>
    <row r="56">
      <c r="A56" s="8" t="inlineStr">
        <is>
          <t>BR-016</t>
        </is>
      </c>
      <c r="B56" s="8" t="inlineStr">
        <is>
          <t>Renault</t>
        </is>
      </c>
      <c r="N56" s="8" t="n">
        <v>2</v>
      </c>
    </row>
    <row r="57">
      <c r="A57" s="8" t="inlineStr">
        <is>
          <t>BR-017</t>
        </is>
      </c>
      <c r="B57" s="8" t="inlineStr">
        <is>
          <t>ERES (SERES) / AITO</t>
        </is>
      </c>
      <c r="N57" s="8" t="n">
        <v>1</v>
      </c>
    </row>
    <row r="58">
      <c r="A58" s="8" t="inlineStr">
        <is>
          <t>BR-018</t>
        </is>
      </c>
      <c r="B58" s="8" t="inlineStr">
        <is>
          <t>Lukano (مکث موتور)</t>
        </is>
      </c>
      <c r="N58" s="8" t="n">
        <v>1</v>
      </c>
    </row>
    <row r="59">
      <c r="A59" s="8" t="inlineStr">
        <is>
          <t>BR-019</t>
        </is>
      </c>
      <c r="B59" s="8" t="inlineStr">
        <is>
          <t>Lamari</t>
        </is>
      </c>
      <c r="C59" s="8" t="n">
        <v>1</v>
      </c>
      <c r="O59" s="8" t="n">
        <v>1</v>
      </c>
    </row>
    <row r="60">
      <c r="A60" s="8" t="inlineStr">
        <is>
          <t>BR-020</t>
        </is>
      </c>
      <c r="B60" s="8" t="inlineStr">
        <is>
          <t>Changan</t>
        </is>
      </c>
      <c r="N60" s="8" t="n">
        <v>1</v>
      </c>
      <c r="O60" s="8" t="n">
        <v>1</v>
      </c>
    </row>
    <row r="61">
      <c r="A61" s="8" t="inlineStr">
        <is>
          <t>BR-021</t>
        </is>
      </c>
      <c r="B61" s="8" t="inlineStr">
        <is>
          <t>Tisan (ری‌بج Jetour)</t>
        </is>
      </c>
      <c r="E61" s="8" t="n">
        <v>1</v>
      </c>
      <c r="N61" s="8" t="n">
        <v>2</v>
      </c>
    </row>
    <row r="62">
      <c r="A62" s="8" t="inlineStr">
        <is>
          <t>BR-022</t>
        </is>
      </c>
      <c r="B62" s="8" t="inlineStr">
        <is>
          <t>BYD</t>
        </is>
      </c>
      <c r="D62" s="8" t="n">
        <v>1</v>
      </c>
      <c r="G62" s="8" t="n">
        <v>1</v>
      </c>
      <c r="I62" s="8" t="n">
        <v>1</v>
      </c>
    </row>
    <row r="63">
      <c r="A63" s="8" t="inlineStr">
        <is>
          <t>BR-023</t>
        </is>
      </c>
      <c r="B63" s="8" t="inlineStr">
        <is>
          <t>Citroën</t>
        </is>
      </c>
      <c r="M63" s="8" t="n">
        <v>1</v>
      </c>
    </row>
    <row r="64">
      <c r="A64" s="8" t="inlineStr">
        <is>
          <t>BR-025</t>
        </is>
      </c>
      <c r="B64" s="8" t="inlineStr">
        <is>
          <t>Toyota</t>
        </is>
      </c>
      <c r="D64" s="8" t="n">
        <v>1</v>
      </c>
      <c r="I64" s="8" t="n">
        <v>1</v>
      </c>
    </row>
    <row r="65">
      <c r="A65" s="8" t="inlineStr">
        <is>
          <t>BR-026</t>
        </is>
      </c>
      <c r="B65" s="8" t="inlineStr">
        <is>
          <t>Nissan</t>
        </is>
      </c>
      <c r="N65" s="8" t="n">
        <v>2</v>
      </c>
    </row>
    <row r="66">
      <c r="A66" s="8" t="inlineStr">
        <is>
          <t>BR-027</t>
        </is>
      </c>
      <c r="B66" s="8" t="inlineStr">
        <is>
          <t>Opel</t>
        </is>
      </c>
      <c r="N66" s="8" t="n">
        <v>1</v>
      </c>
    </row>
    <row r="67">
      <c r="A67" s="8" t="inlineStr">
        <is>
          <t>BR-028</t>
        </is>
      </c>
      <c r="B67" s="8" t="inlineStr">
        <is>
          <t>Mazda</t>
        </is>
      </c>
      <c r="N67" s="8" t="n">
        <v>2</v>
      </c>
    </row>
    <row r="68">
      <c r="A68" s="8" t="inlineStr">
        <is>
          <t>BR-029</t>
        </is>
      </c>
      <c r="B68" s="8" t="inlineStr">
        <is>
          <t>Volvo</t>
        </is>
      </c>
      <c r="N68" s="8" t="n">
        <v>1</v>
      </c>
    </row>
    <row r="69">
      <c r="A69" s="8" t="inlineStr">
        <is>
          <t>BR-030</t>
        </is>
      </c>
      <c r="B69" s="8" t="inlineStr">
        <is>
          <t>Audi</t>
        </is>
      </c>
      <c r="N69" s="8" t="n">
        <v>1</v>
      </c>
    </row>
    <row r="70">
      <c r="A70" s="8" t="inlineStr">
        <is>
          <t>BR-031</t>
        </is>
      </c>
      <c r="B70" s="8" t="inlineStr">
        <is>
          <t>Mercedes-Benz</t>
        </is>
      </c>
      <c r="N70" s="8" t="n">
        <v>1</v>
      </c>
    </row>
    <row r="71">
      <c r="A71" s="8" t="inlineStr">
        <is>
          <t>BR-032</t>
        </is>
      </c>
      <c r="B71" s="8" t="inlineStr">
        <is>
          <t>Leapmotor / Tank (GWM)</t>
        </is>
      </c>
      <c r="N71" s="8" t="n">
        <v>1</v>
      </c>
    </row>
    <row r="72">
      <c r="A72" s="8" t="inlineStr">
        <is>
          <t>BR-033</t>
        </is>
      </c>
      <c r="B72" s="8" t="inlineStr">
        <is>
          <t>Suzuki</t>
        </is>
      </c>
      <c r="D72" s="8" t="n">
        <v>1</v>
      </c>
    </row>
    <row r="73">
      <c r="A73" s="8" t="inlineStr">
        <is>
          <t>BR-034</t>
        </is>
      </c>
      <c r="B73" s="8" t="inlineStr">
        <is>
          <t>Skywell</t>
        </is>
      </c>
      <c r="D73" s="8" t="n">
        <v>1</v>
      </c>
    </row>
    <row r="74">
      <c r="A74" s="8" t="inlineStr">
        <is>
          <t>BR-035</t>
        </is>
      </c>
      <c r="B74" s="8" t="inlineStr">
        <is>
          <t>Skoda</t>
        </is>
      </c>
      <c r="I74" s="8" t="n">
        <v>1</v>
      </c>
    </row>
    <row r="75">
      <c r="A75" s="8" t="inlineStr">
        <is>
          <t>BR-036</t>
        </is>
      </c>
      <c r="B75" s="8" t="inlineStr">
        <is>
          <t>Dacia</t>
        </is>
      </c>
      <c r="I75" s="8" t="n">
        <v>1</v>
      </c>
    </row>
    <row r="76">
      <c r="A76" s="8" t="inlineStr">
        <is>
          <t>BR-046</t>
        </is>
      </c>
      <c r="B76" s="8" t="inlineStr">
        <is>
          <t>Jetour (برند اصلی)</t>
        </is>
      </c>
      <c r="N76" s="8" t="n">
        <v>1</v>
      </c>
    </row>
    <row r="77">
      <c r="A77" s="8" t="inlineStr">
        <is>
          <t>BR-047</t>
        </is>
      </c>
      <c r="B77" s="8" t="inlineStr">
        <is>
          <t>Mars (طبق اطلاعیه اتونوین)</t>
        </is>
      </c>
      <c r="I77" s="8" t="n">
        <v>1</v>
      </c>
    </row>
    <row r="79">
      <c r="A79" s="8" t="inlineStr">
        <is>
          <t>نکته: رکوردهای با تاریخ نامشخص در ماتریس زمانی شمرده نشده‌اند.</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55"/>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18" customWidth="1" min="3" max="3"/>
    <col width="36" customWidth="1" min="4" max="4"/>
    <col width="28" customWidth="1" min="5" max="5"/>
    <col width="32" customWidth="1" min="6" max="6"/>
    <col width="26" customWidth="1" min="7" max="7"/>
    <col width="22" customWidth="1" min="8" max="8"/>
    <col width="16" customWidth="1" min="9" max="9"/>
    <col width="16" customWidth="1" min="10" max="10"/>
    <col width="18" customWidth="1" min="11" max="11"/>
    <col width="18" customWidth="1" min="12" max="12"/>
    <col width="26" customWidth="1" min="13" max="13"/>
  </cols>
  <sheetData>
    <row r="1" ht="36" customHeight="1">
      <c r="A1" s="1" t="inlineStr">
        <is>
          <t>Campaign_ID</t>
        </is>
      </c>
      <c r="B1" s="1" t="inlineStr">
        <is>
          <t>برند/بازیگر</t>
        </is>
      </c>
      <c r="C1" s="1" t="inlineStr">
        <is>
          <t>نوع رکورد</t>
        </is>
      </c>
      <c r="D1" s="1" t="inlineStr">
        <is>
          <t>عنوان</t>
        </is>
      </c>
      <c r="E1" s="1" t="inlineStr">
        <is>
          <t>شعار/پیام</t>
        </is>
      </c>
      <c r="F1" s="1" t="inlineStr">
        <is>
          <t>ایده خلاقه</t>
        </is>
      </c>
      <c r="G1" s="1" t="inlineStr">
        <is>
          <t>پیشنهاد فروش</t>
        </is>
      </c>
      <c r="H1" s="1" t="inlineStr">
        <is>
          <t>مخاطب</t>
        </is>
      </c>
      <c r="I1" s="1" t="inlineStr">
        <is>
          <t>CTA</t>
        </is>
      </c>
      <c r="J1" s="1" t="inlineStr">
        <is>
          <t>مرحله قیف (تحلیل)</t>
        </is>
      </c>
      <c r="K1" s="1" t="inlineStr">
        <is>
          <t>تأکید پیام (تحلیل)</t>
        </is>
      </c>
      <c r="L1" s="1" t="inlineStr">
        <is>
          <t>یکپارچگی چندکاناله (تحلیل)</t>
        </is>
      </c>
      <c r="M1" s="1" t="inlineStr">
        <is>
          <t>یادداشت</t>
        </is>
      </c>
    </row>
    <row r="2">
      <c r="A2" s="2" t="inlineStr">
        <is>
          <t>CMP-001</t>
        </is>
      </c>
      <c r="B2" s="2" t="inlineStr">
        <is>
          <t>ایران خودرو (IKCO) — تارا، ری‌را، دنا، سورن، پژو ۲۰۷</t>
        </is>
      </c>
      <c r="C2" s="2" t="inlineStr">
        <is>
          <t>کمپین نمایشگاهی/رویدادی</t>
        </is>
      </c>
      <c r="D2" s="2" t="inlineStr">
        <is>
          <t>حضور ایران خودرو در نوزدهمین نمایشگاه خودرو اصفهان</t>
        </is>
      </c>
      <c r="E2" s="2" t="inlineStr">
        <is>
          <t>نامشخص</t>
        </is>
      </c>
      <c r="F2" s="2" t="inlineStr">
        <is>
          <t>نامشخص</t>
        </is>
      </c>
      <c r="G2" s="2" t="inlineStr">
        <is>
          <t>نامشخص</t>
        </is>
      </c>
      <c r="H2" s="2" t="inlineStr">
        <is>
          <t>بازدیدکنندگان نمایشگاه / بازار اصفهان</t>
        </is>
      </c>
      <c r="I2" s="2" t="inlineStr">
        <is>
          <t>نامشخص</t>
        </is>
      </c>
      <c r="J2" s="2" t="inlineStr">
        <is>
          <t>آگاهی/بررسی</t>
        </is>
      </c>
      <c r="K2" s="2" t="inlineStr">
        <is>
          <t>دسترسی/حضور</t>
        </is>
      </c>
      <c r="L2" s="2" t="inlineStr">
        <is>
          <t>نامشخص</t>
        </is>
      </c>
      <c r="M2" s="2" t="inlineStr">
        <is>
          <t>تحلیل (نه واقعیت اثبات‌شده) بر پایه شواهد ثانویه</t>
        </is>
      </c>
    </row>
    <row r="3">
      <c r="A3" s="2" t="inlineStr">
        <is>
          <t>CMP-002</t>
        </is>
      </c>
      <c r="B3" s="2" t="inlineStr">
        <is>
          <t>Fidelity / Dignity / Respect (برندهای گروه بهمن)</t>
        </is>
      </c>
      <c r="C3" s="2" t="inlineStr">
        <is>
          <t>کمپین نمایشگاهی/رویدادی</t>
        </is>
      </c>
      <c r="D3" s="2" t="inlineStr">
        <is>
          <t>حضور گروه بهمن در نمایشگاه خودرو اصفهان</t>
        </is>
      </c>
      <c r="E3" s="2" t="inlineStr">
        <is>
          <t>نامشخص</t>
        </is>
      </c>
      <c r="F3" s="2" t="inlineStr">
        <is>
          <t>نامشخص</t>
        </is>
      </c>
      <c r="G3" s="2" t="inlineStr">
        <is>
          <t>نامشخص</t>
        </is>
      </c>
      <c r="H3" s="2" t="inlineStr">
        <is>
          <t>بازدیدکنندگان نمایشگاه</t>
        </is>
      </c>
      <c r="I3" s="2" t="inlineStr">
        <is>
          <t>نامشخص</t>
        </is>
      </c>
      <c r="J3" s="2" t="inlineStr">
        <is>
          <t>آگاهی</t>
        </is>
      </c>
      <c r="K3" s="2" t="inlineStr">
        <is>
          <t>نامشخص</t>
        </is>
      </c>
      <c r="L3" s="2" t="inlineStr">
        <is>
          <t>نامشخص</t>
        </is>
      </c>
      <c r="M3" s="2" t="inlineStr">
        <is>
          <t>شواهد ناکافی برای تحلیل خلاقه معتبر</t>
        </is>
      </c>
    </row>
    <row r="4">
      <c r="A4" s="2" t="inlineStr">
        <is>
          <t>CMP-003</t>
        </is>
      </c>
      <c r="B4" s="2" t="inlineStr">
        <is>
          <t>سایپا — شاهین، آریا، اطلس، ساینا، کوییک، ۱۵۱</t>
        </is>
      </c>
      <c r="C4" s="2" t="inlineStr">
        <is>
          <t>کمپین تبلیغاتی/ترویجی</t>
        </is>
      </c>
      <c r="D4" s="2" t="inlineStr">
        <is>
          <t>پیش‌فروش ویژه یلدا ۱۴۰۴ سایپا</t>
        </is>
      </c>
      <c r="E4" s="2" t="inlineStr">
        <is>
          <t>«بدون قرعه‌کشی» (عبارت تکرارشونده در پوشش رسانه‌ای؛ شعار رسمی نامشخص)</t>
        </is>
      </c>
      <c r="F4" s="2" t="inlineStr">
        <is>
          <t>پیوند فروش با مناسبت فرهنگی یلدا</t>
        </is>
      </c>
      <c r="G4" s="2" t="inlineStr">
        <is>
          <t>پیش‌پرداخت ۲۵۲ م.ت (ساینا S) و ۳۵۶ م.ت (اطلس S)؛ سود مشارکت ۱۵-۱۶٪</t>
        </is>
      </c>
      <c r="H4" s="2" t="inlineStr">
        <is>
          <t>متقاضیان عادی (فقط)</t>
        </is>
      </c>
      <c r="I4" s="2" t="inlineStr">
        <is>
          <t>ثبت‌نام اینترنتی</t>
        </is>
      </c>
      <c r="J4" s="2" t="inlineStr">
        <is>
          <t>ثبت‌نام/خرید</t>
        </is>
      </c>
      <c r="K4" s="2" t="inlineStr">
        <is>
          <t>قیمت/دسترسی</t>
        </is>
      </c>
      <c r="L4" s="2" t="inlineStr">
        <is>
          <t>خیر (شواهدی از چندکاناله بودن نیست)</t>
        </is>
      </c>
      <c r="M4" s="2" t="inlineStr">
        <is>
          <t>تحلیل (نه واقعیت اثبات‌شده) بر پایه شواهد ثانویه</t>
        </is>
      </c>
    </row>
    <row r="5">
      <c r="A5" s="2" t="inlineStr">
        <is>
          <t>CMP-004</t>
        </is>
      </c>
      <c r="B5" s="2" t="inlineStr">
        <is>
          <t>سایپا — شاهین، آریا، اطلس، ساینا، کوییک، ۱۵۱</t>
        </is>
      </c>
      <c r="C5" s="2" t="inlineStr">
        <is>
          <t>طرح فروش (فعالیت فروش؛ مرز با کمپین)</t>
        </is>
      </c>
      <c r="D5" s="2" t="inlineStr">
        <is>
          <t>فروش فوری/فوق‌العاده سایپا ویژه دهه فجر ۱۴۰۴</t>
        </is>
      </c>
      <c r="E5" s="2" t="inlineStr">
        <is>
          <t>نامشخص</t>
        </is>
      </c>
      <c r="F5" s="2" t="inlineStr">
        <is>
          <t>قلاب مناسبتی دهه فجر</t>
        </is>
      </c>
      <c r="G5" s="2" t="inlineStr">
        <is>
          <t>فروش فوری تا تکمیل ظرفیت</t>
        </is>
      </c>
      <c r="H5" s="2" t="inlineStr">
        <is>
          <t>متقاضیان عادی</t>
        </is>
      </c>
      <c r="I5" s="2" t="inlineStr">
        <is>
          <t>ثبت‌نام</t>
        </is>
      </c>
      <c r="J5" s="2" t="inlineStr">
        <is>
          <t>خرید</t>
        </is>
      </c>
      <c r="K5" s="2" t="inlineStr">
        <is>
          <t>دسترسی</t>
        </is>
      </c>
      <c r="L5" s="2" t="inlineStr">
        <is>
          <t>نامشخص</t>
        </is>
      </c>
      <c r="M5" s="2" t="inlineStr">
        <is>
          <t>شواهد ناکافی برای تحلیل خلاقه معتبر</t>
        </is>
      </c>
    </row>
    <row r="6">
      <c r="A6" s="2" t="inlineStr">
        <is>
          <t>CMP-005</t>
        </is>
      </c>
      <c r="B6" s="2" t="inlineStr">
        <is>
          <t>سایپا — شاهین، آریا، اطلس، ساینا، کوییک، ۱۵۱</t>
        </is>
      </c>
      <c r="C6" s="2" t="inlineStr">
        <is>
          <t>طرح فروش (فعالیت فروش؛ مرز با کمپین)</t>
        </is>
      </c>
      <c r="D6" s="2" t="inlineStr">
        <is>
          <t>ثبت‌نام سایپا ۱۵۱ ارتقایافته (GX)</t>
        </is>
      </c>
      <c r="E6" s="2" t="inlineStr">
        <is>
          <t>نامشخص</t>
        </is>
      </c>
      <c r="F6" s="2" t="inlineStr">
        <is>
          <t>نامشخص</t>
        </is>
      </c>
      <c r="G6" s="2" t="inlineStr">
        <is>
          <t>تحویل هفته چهارم پس از سفارش</t>
        </is>
      </c>
      <c r="H6" s="2" t="inlineStr">
        <is>
          <t>نامشخص</t>
        </is>
      </c>
      <c r="I6" s="2" t="inlineStr">
        <is>
          <t>ثبت‌نام</t>
        </is>
      </c>
      <c r="J6" s="2" t="inlineStr">
        <is>
          <t>خرید</t>
        </is>
      </c>
      <c r="K6" s="2" t="inlineStr">
        <is>
          <t>سرعت تحویل</t>
        </is>
      </c>
      <c r="L6" s="2" t="inlineStr">
        <is>
          <t>نامشخص</t>
        </is>
      </c>
      <c r="M6" s="2" t="inlineStr">
        <is>
          <t>شواهد ناکافی برای تحلیل خلاقه معتبر</t>
        </is>
      </c>
    </row>
    <row r="7">
      <c r="A7" s="2" t="inlineStr">
        <is>
          <t>CMP-006</t>
        </is>
      </c>
      <c r="B7" s="2" t="inlineStr">
        <is>
          <t>سایپا — شاهین، آریا، اطلس، ساینا، کوییک، ۱۵۱</t>
        </is>
      </c>
      <c r="C7" s="2" t="inlineStr">
        <is>
          <t>کمپین تبلیغاتی/ترویجی</t>
        </is>
      </c>
      <c r="D7" s="2" t="inlineStr">
        <is>
          <t>رونمایی آریانو (پلاگین‌هیبرید)، وانت ۲۵۱ و زامیاد Z25 و افتتاح خط تولید آریا با حضور وزیر صمت</t>
        </is>
      </c>
      <c r="E7" s="2" t="inlineStr">
        <is>
          <t>«اولین پلاگین‌هیبرید کشور» (تعبیر پوشش رسانه‌ای)</t>
        </is>
      </c>
      <c r="F7" s="2" t="inlineStr">
        <is>
          <t>رونمایی رسمی همراه با افتتاح خط تولید و حضور مقام دولتی</t>
        </is>
      </c>
      <c r="G7" s="2" t="inlineStr">
        <is>
          <t>نامشخص</t>
        </is>
      </c>
      <c r="H7" s="2" t="inlineStr">
        <is>
          <t>رسانه‌ها و عموم</t>
        </is>
      </c>
      <c r="I7" s="2" t="inlineStr">
        <is>
          <t>نامشخص</t>
        </is>
      </c>
      <c r="J7" s="2" t="inlineStr">
        <is>
          <t>آگاهی</t>
        </is>
      </c>
      <c r="K7" s="2" t="inlineStr">
        <is>
          <t>فناوری/تولید داخلی</t>
        </is>
      </c>
      <c r="L7" s="2" t="inlineStr">
        <is>
          <t>بله (رویداد + رسانه)</t>
        </is>
      </c>
      <c r="M7" s="2" t="inlineStr">
        <is>
          <t>تحلیل (نه واقعیت اثبات‌شده) بر پایه شواهد ثانویه</t>
        </is>
      </c>
    </row>
    <row r="8">
      <c r="A8" s="2" t="inlineStr">
        <is>
          <t>CMP-008</t>
        </is>
      </c>
      <c r="B8" s="2" t="inlineStr">
        <is>
          <t>Changan</t>
        </is>
      </c>
      <c r="C8" s="2" t="inlineStr">
        <is>
          <t>طرح فروش (فعالیت فروش؛ مرز با کمپین)</t>
        </is>
      </c>
      <c r="D8" s="2" t="inlineStr">
        <is>
          <t>پیش‌فروش چانگان CS35 و CS55 Plus سایپا (قرعه‌کشی)</t>
        </is>
      </c>
      <c r="E8" s="2" t="inlineStr">
        <is>
          <t>نامشخص</t>
        </is>
      </c>
      <c r="F8" s="2" t="inlineStr">
        <is>
          <t>نامشخص</t>
        </is>
      </c>
      <c r="G8" s="2" t="inlineStr">
        <is>
          <t>پیش‌پرداخت علی‌الحساب ۲.۹۹ میلیارد تومان؛ تحویل اسفند ۱۴۰۵</t>
        </is>
      </c>
      <c r="H8" s="2" t="inlineStr">
        <is>
          <t>متقاضیان عادی</t>
        </is>
      </c>
      <c r="I8" s="2" t="inlineStr">
        <is>
          <t>ثبت‌نام</t>
        </is>
      </c>
      <c r="J8" s="2" t="inlineStr">
        <is>
          <t>ثبت‌نام</t>
        </is>
      </c>
      <c r="K8" s="2" t="inlineStr">
        <is>
          <t>قیمت/دسترسی</t>
        </is>
      </c>
      <c r="L8" s="2" t="inlineStr">
        <is>
          <t>نامشخص</t>
        </is>
      </c>
      <c r="M8" s="2" t="inlineStr">
        <is>
          <t>شواهد ناکافی برای تحلیل خلاقه معتبر</t>
        </is>
      </c>
    </row>
    <row r="9">
      <c r="A9" s="2" t="inlineStr">
        <is>
          <t>CMP-009</t>
        </is>
      </c>
      <c r="B9" s="2" t="inlineStr">
        <is>
          <t>سایپا — شاهین، آریا، اطلس، ساینا، کوییک، ۱۵۱؛ Citroën</t>
        </is>
      </c>
      <c r="C9" s="2" t="inlineStr">
        <is>
          <t>طرح فروش (فعالیت فروش؛ مرز با کمپین)</t>
        </is>
      </c>
      <c r="D9" s="2" t="inlineStr">
        <is>
          <t>فروش فوق‌العاده کوییک و سیتروئن C3-XR</t>
        </is>
      </c>
      <c r="E9" s="2" t="inlineStr">
        <is>
          <t>«بدون قرعه‌کشی»</t>
        </is>
      </c>
      <c r="F9" s="2" t="inlineStr">
        <is>
          <t>نامشخص</t>
        </is>
      </c>
      <c r="G9" s="2" t="inlineStr">
        <is>
          <t>تحویل ۹۰ روزه</t>
        </is>
      </c>
      <c r="H9" s="2" t="inlineStr">
        <is>
          <t>نامشخص</t>
        </is>
      </c>
      <c r="I9" s="2" t="inlineStr">
        <is>
          <t>ثبت‌نام</t>
        </is>
      </c>
      <c r="J9" s="2" t="inlineStr">
        <is>
          <t>خرید</t>
        </is>
      </c>
      <c r="K9" s="2" t="inlineStr">
        <is>
          <t>قیمت/دسترسی</t>
        </is>
      </c>
      <c r="L9" s="2" t="inlineStr">
        <is>
          <t>نامشخص</t>
        </is>
      </c>
      <c r="M9" s="2" t="inlineStr">
        <is>
          <t>شواهد ناکافی برای تحلیل خلاقه معتبر</t>
        </is>
      </c>
    </row>
    <row r="10">
      <c r="A10" s="2" t="inlineStr">
        <is>
          <t>CMP-010</t>
        </is>
      </c>
      <c r="B10" s="2" t="inlineStr">
        <is>
          <t>سایپا — شاهین، آریا، اطلس، ساینا، کوییک، ۱۵۱؛ پارس خودرو (گروه سایپا)</t>
        </is>
      </c>
      <c r="C10" s="2" t="inlineStr">
        <is>
          <t>طرح فروش (فعالیت فروش؛ مرز با کمپین)</t>
        </is>
      </c>
      <c r="D10" s="2" t="inlineStr">
        <is>
          <t>پیش‌فروش مشارکتی سایپا شهریور ۱۴۰۵</t>
        </is>
      </c>
      <c r="E10" s="2" t="inlineStr">
        <is>
          <t>نامشخص</t>
        </is>
      </c>
      <c r="F10" s="2" t="inlineStr">
        <is>
          <t>نامشخص</t>
        </is>
      </c>
      <c r="G10" s="2" t="inlineStr">
        <is>
          <t>تحویل شهریور تا آبان ۱۴۰۶</t>
        </is>
      </c>
      <c r="H10" s="2" t="inlineStr">
        <is>
          <t>ظرفیت‌های استفاده‌نشده طرح جوانی جمعیت</t>
        </is>
      </c>
      <c r="I10" s="2" t="inlineStr">
        <is>
          <t>ثبت‌نام</t>
        </is>
      </c>
      <c r="J10" s="2" t="inlineStr">
        <is>
          <t>ثبت‌نام</t>
        </is>
      </c>
      <c r="K10" s="2" t="inlineStr">
        <is>
          <t>دسترسی</t>
        </is>
      </c>
      <c r="L10" s="2" t="inlineStr">
        <is>
          <t>نامشخص</t>
        </is>
      </c>
      <c r="M10" s="2" t="inlineStr">
        <is>
          <t>شواهد ناکافی برای تحلیل خلاقه معتبر</t>
        </is>
      </c>
    </row>
    <row r="11">
      <c r="A11" s="2" t="inlineStr">
        <is>
          <t>CMP-011</t>
        </is>
      </c>
      <c r="B11" s="2" t="inlineStr">
        <is>
          <t>ایران خودرو (IKCO) — تارا، ری‌را، دنا، سورن، پژو ۲۰۷؛ ایکو پرمیوم / سفیر (زیربرند ایران خودرو)؛ Mercedes-Benz</t>
        </is>
      </c>
      <c r="C11" s="2" t="inlineStr">
        <is>
          <t>کمپین نمایشگاهی/رویدادی</t>
        </is>
      </c>
      <c r="D11" s="2" t="inlineStr">
        <is>
          <t>حضور ایران خودرو در هفتمین نمایشگاه خودرو تهران با سبد سواری، پرمیوم، وارداتی و تجاری + تست‌درایو</t>
        </is>
      </c>
      <c r="E11" s="2" t="inlineStr">
        <is>
          <t>نامشخص</t>
        </is>
      </c>
      <c r="F11" s="2" t="inlineStr">
        <is>
          <t>تجربه رانندگی (تست‌درایو ۵ محصول)</t>
        </is>
      </c>
      <c r="G11" s="2" t="inlineStr">
        <is>
          <t>نامشخص</t>
        </is>
      </c>
      <c r="H11" s="2" t="inlineStr">
        <is>
          <t>بازدیدکنندگان؛ رسانه‌ها؛ مشتریان سازمانی (تجاری)</t>
        </is>
      </c>
      <c r="I11" s="2" t="inlineStr">
        <is>
          <t>تست‌درایو</t>
        </is>
      </c>
      <c r="J11" s="2" t="inlineStr">
        <is>
          <t>آگاهی/بررسی</t>
        </is>
      </c>
      <c r="K11" s="2" t="inlineStr">
        <is>
          <t>تنوع سبد/فناوری</t>
        </is>
      </c>
      <c r="L11" s="2" t="inlineStr">
        <is>
          <t>بله (نمایشگاه + رسانه)</t>
        </is>
      </c>
      <c r="M11" s="2" t="inlineStr">
        <is>
          <t>تحلیل (نه واقعیت اثبات‌شده) بر پایه شواهد ثانویه</t>
        </is>
      </c>
    </row>
    <row r="12">
      <c r="A12" s="2" t="inlineStr">
        <is>
          <t>CMP-012</t>
        </is>
      </c>
      <c r="B12" s="2" t="inlineStr">
        <is>
          <t>ایران خودرو (IKCO) — تارا، ری‌را، دنا، سورن، پژو ۲۰۷</t>
        </is>
      </c>
      <c r="C12" s="2" t="inlineStr">
        <is>
          <t>طرح فروش (فعالیت فروش؛ مرز با کمپین)</t>
        </is>
      </c>
      <c r="D12" s="2" t="inlineStr">
        <is>
          <t>فروش فوری ایران خودرو شهریور ۱۴۰۵ (تارا، دناپلاس، سورن و…)</t>
        </is>
      </c>
      <c r="E12" s="2" t="inlineStr">
        <is>
          <t>نامشخص</t>
        </is>
      </c>
      <c r="F12" s="2" t="inlineStr">
        <is>
          <t>نامشخص</t>
        </is>
      </c>
      <c r="G12" s="2" t="inlineStr">
        <is>
          <t>تحویل ۳۰ روزه</t>
        </is>
      </c>
      <c r="H12" s="2" t="inlineStr">
        <is>
          <t>نامشخص</t>
        </is>
      </c>
      <c r="I12" s="2" t="inlineStr">
        <is>
          <t>ثبت‌نام</t>
        </is>
      </c>
      <c r="J12" s="2" t="inlineStr">
        <is>
          <t>خرید</t>
        </is>
      </c>
      <c r="K12" s="2" t="inlineStr">
        <is>
          <t>سرعت تحویل</t>
        </is>
      </c>
      <c r="L12" s="2" t="inlineStr">
        <is>
          <t>نامشخص</t>
        </is>
      </c>
      <c r="M12" s="2" t="inlineStr">
        <is>
          <t>تحلیل (نه واقعیت اثبات‌شده) بر پایه شواهد ثانویه</t>
        </is>
      </c>
    </row>
    <row r="13">
      <c r="A13" s="2" t="inlineStr">
        <is>
          <t>CMP-013</t>
        </is>
      </c>
      <c r="B13" s="2" t="inlineStr">
        <is>
          <t>ایران خودرو (IKCO) — تارا، ری‌را، دنا، سورن، پژو ۲۰۷</t>
        </is>
      </c>
      <c r="C13" s="2" t="inlineStr">
        <is>
          <t>طرح فروش (فعالیت فروش؛ مرز با کمپین)</t>
        </is>
      </c>
      <c r="D13" s="2" t="inlineStr">
        <is>
          <t>مرحله شانزدهم عرضه محصولات ایران خودرو (مهر ۱۴۰۵)</t>
        </is>
      </c>
      <c r="E13" s="2" t="inlineStr">
        <is>
          <t>نامشخص</t>
        </is>
      </c>
      <c r="F13" s="2" t="inlineStr">
        <is>
          <t>نامشخص</t>
        </is>
      </c>
      <c r="G13" s="2" t="inlineStr">
        <is>
          <t>نامشخص</t>
        </is>
      </c>
      <c r="H13" s="2" t="inlineStr">
        <is>
          <t>متقاضیان عادی؛ طرح حمایت از خانواده و جوانی جمعیت؛ جایگزینی فرسوده</t>
        </is>
      </c>
      <c r="I13" s="2" t="inlineStr">
        <is>
          <t>ثبت‌نام</t>
        </is>
      </c>
      <c r="J13" s="2" t="inlineStr">
        <is>
          <t>خرید</t>
        </is>
      </c>
      <c r="K13" s="2" t="inlineStr">
        <is>
          <t>دسترسی</t>
        </is>
      </c>
      <c r="L13" s="2" t="inlineStr">
        <is>
          <t>نامشخص</t>
        </is>
      </c>
      <c r="M13" s="2" t="inlineStr">
        <is>
          <t>شواهد ناکافی برای تحلیل خلاقه معتبر</t>
        </is>
      </c>
    </row>
    <row r="14">
      <c r="A14" s="2" t="inlineStr">
        <is>
          <t>CMP-014</t>
        </is>
      </c>
      <c r="B14" s="2" t="inlineStr">
        <is>
          <t>ایران خودرو (IKCO) — تارا، ری‌را، دنا، سورن، پژو ۲۰۷</t>
        </is>
      </c>
      <c r="C14" s="2" t="inlineStr">
        <is>
          <t>کمپین تبلیغاتی/ترویجی</t>
        </is>
      </c>
      <c r="D14" s="2" t="inlineStr">
        <is>
          <t>فراخوان تعویض رایگان قطعه محافظ گرمایشی پژو ۲۰۶، ۲۰۷ و رانا</t>
        </is>
      </c>
      <c r="E14" s="2" t="inlineStr">
        <is>
          <t>نامشخص</t>
        </is>
      </c>
      <c r="F14" s="2" t="inlineStr">
        <is>
          <t>نامشخص</t>
        </is>
      </c>
      <c r="G14" s="2" t="inlineStr">
        <is>
          <t>تعویض رایگان</t>
        </is>
      </c>
      <c r="H14" s="2" t="inlineStr">
        <is>
          <t>مالکان ۲۰۶، ۲۰۷ و رانا</t>
        </is>
      </c>
      <c r="I14" s="2" t="inlineStr">
        <is>
          <t>مراجعه به نمایندگی</t>
        </is>
      </c>
      <c r="J14" s="2" t="inlineStr">
        <is>
          <t>وفادارسازی</t>
        </is>
      </c>
      <c r="K14" s="2" t="inlineStr">
        <is>
          <t>خدمات/ایمنی</t>
        </is>
      </c>
      <c r="L14" s="2" t="inlineStr">
        <is>
          <t>نامشخص</t>
        </is>
      </c>
      <c r="M14" s="2" t="inlineStr">
        <is>
          <t>شواهد ناکافی برای تحلیل خلاقه معتبر</t>
        </is>
      </c>
    </row>
    <row r="15">
      <c r="A15" s="2" t="inlineStr">
        <is>
          <t>CMP-015</t>
        </is>
      </c>
      <c r="B15" s="2" t="inlineStr">
        <is>
          <t>ایکو پرمیوم / سفیر (زیربرند ایران خودرو)</t>
        </is>
      </c>
      <c r="C15" s="2" t="inlineStr">
        <is>
          <t>کمپین تبلیغاتی/ترویجی</t>
        </is>
      </c>
      <c r="D15" s="2" t="inlineStr">
        <is>
          <t>افتتاح خط تولید سفیر R7 و رونمایی سه محصول تجاری ایران خودرو؛ عرضه سفیر R7 در شوروم «ایکو پرمیوم»</t>
        </is>
      </c>
      <c r="E15" s="2" t="inlineStr">
        <is>
          <t>نامشخص</t>
        </is>
      </c>
      <c r="F15" s="2" t="inlineStr">
        <is>
          <t>نامشخص</t>
        </is>
      </c>
      <c r="G15" s="2" t="inlineStr">
        <is>
          <t>نامشخص</t>
        </is>
      </c>
      <c r="H15" s="2" t="inlineStr">
        <is>
          <t>خریداران پرمیوم</t>
        </is>
      </c>
      <c r="I15" s="2" t="inlineStr">
        <is>
          <t>نامشخص</t>
        </is>
      </c>
      <c r="J15" s="2" t="inlineStr">
        <is>
          <t>بررسی</t>
        </is>
      </c>
      <c r="K15" s="2" t="inlineStr">
        <is>
          <t>پرستیژ</t>
        </is>
      </c>
      <c r="L15" s="2" t="inlineStr">
        <is>
          <t>نامشخص</t>
        </is>
      </c>
      <c r="M15" s="2" t="inlineStr">
        <is>
          <t>شواهد ناکافی برای تحلیل خلاقه معتبر</t>
        </is>
      </c>
    </row>
    <row r="16">
      <c r="A16" s="2" t="inlineStr">
        <is>
          <t>CMP-016</t>
        </is>
      </c>
      <c r="B16" s="2" t="inlineStr">
        <is>
          <t>MVM</t>
        </is>
      </c>
      <c r="C16" s="2" t="inlineStr">
        <is>
          <t>طرح فروش (فعالیت فروش؛ مرز با کمپین)</t>
        </is>
      </c>
      <c r="D16" s="2" t="inlineStr">
        <is>
          <t>فروش ام‌وی‌ام X33 کراس اتوماتیک</t>
        </is>
      </c>
      <c r="E16" s="2" t="inlineStr">
        <is>
          <t>نامشخص</t>
        </is>
      </c>
      <c r="F16" s="2" t="inlineStr">
        <is>
          <t>نامشخص</t>
        </is>
      </c>
      <c r="G16" s="2" t="inlineStr">
        <is>
          <t>نقدی؛ تحویل ۹۰ روزه یا فوق‌العاده</t>
        </is>
      </c>
      <c r="H16" s="2" t="inlineStr">
        <is>
          <t>نامشخص</t>
        </is>
      </c>
      <c r="I16" s="2" t="inlineStr">
        <is>
          <t>ثبت‌نام</t>
        </is>
      </c>
      <c r="J16" s="2" t="inlineStr">
        <is>
          <t>خرید</t>
        </is>
      </c>
      <c r="K16" s="2" t="inlineStr">
        <is>
          <t>نامشخص</t>
        </is>
      </c>
      <c r="L16" s="2" t="inlineStr">
        <is>
          <t>نامشخص</t>
        </is>
      </c>
      <c r="M16" s="2" t="inlineStr">
        <is>
          <t>شواهد ناکافی برای تحلیل خلاقه معتبر</t>
        </is>
      </c>
    </row>
    <row r="17">
      <c r="A17" s="2" t="inlineStr">
        <is>
          <t>CMP-017</t>
        </is>
      </c>
      <c r="B17" s="2" t="inlineStr">
        <is>
          <t>FOWNIX / Fownix NEV</t>
        </is>
      </c>
      <c r="C17" s="2" t="inlineStr">
        <is>
          <t>طرح فروش (فعالیت فروش؛ مرز با کمپین)</t>
        </is>
      </c>
      <c r="D17" s="2" t="inlineStr">
        <is>
          <t>فروش فونیکس F7 Pro Max</t>
        </is>
      </c>
      <c r="E17" s="2" t="inlineStr">
        <is>
          <t>نامشخص</t>
        </is>
      </c>
      <c r="F17" s="2" t="inlineStr">
        <is>
          <t>نامشخص</t>
        </is>
      </c>
      <c r="G17" s="2" t="inlineStr">
        <is>
          <t>نقدی؛ تحویل ۹۰ روزه یا فوق‌العاده</t>
        </is>
      </c>
      <c r="H17" s="2" t="inlineStr">
        <is>
          <t>نامشخص</t>
        </is>
      </c>
      <c r="I17" s="2" t="inlineStr">
        <is>
          <t>ثبت‌نام</t>
        </is>
      </c>
      <c r="J17" s="2" t="inlineStr">
        <is>
          <t>خرید</t>
        </is>
      </c>
      <c r="K17" s="2" t="inlineStr">
        <is>
          <t>نامشخص</t>
        </is>
      </c>
      <c r="L17" s="2" t="inlineStr">
        <is>
          <t>نامشخص</t>
        </is>
      </c>
      <c r="M17" s="2" t="inlineStr">
        <is>
          <t>شواهد ناکافی برای تحلیل خلاقه معتبر</t>
        </is>
      </c>
    </row>
    <row r="18">
      <c r="A18" s="2" t="inlineStr">
        <is>
          <t>CMP-018</t>
        </is>
      </c>
      <c r="B18" s="2" t="inlineStr">
        <is>
          <t>MVM؛ FOWNIX / Fownix NEV؛ XTRIM (EXEED)</t>
        </is>
      </c>
      <c r="C18" s="2" t="inlineStr">
        <is>
          <t>طرح فروش (فعالیت فروش؛ مرز با کمپین)</t>
        </is>
      </c>
      <c r="D18" s="2" t="inlineStr">
        <is>
          <t>فروش نقدی MVM/فونیکس/اکستریم با تحویل ۳۰ روزه (مرداد ۱۴۰۵)</t>
        </is>
      </c>
      <c r="E18" s="2" t="inlineStr">
        <is>
          <t>«قیمت قطعی، تحویل ۳۰ روزه» (عبارت پوشش خبری)</t>
        </is>
      </c>
      <c r="F18" s="2" t="inlineStr">
        <is>
          <t>نامشخص</t>
        </is>
      </c>
      <c r="G18" s="2" t="inlineStr">
        <is>
          <t>قیمت قطعی؛ تحویل ۳۰ روز کاری</t>
        </is>
      </c>
      <c r="H18" s="2" t="inlineStr">
        <is>
          <t>عمومی و طرح سازمانی</t>
        </is>
      </c>
      <c r="I18" s="2" t="inlineStr">
        <is>
          <t>ثبت‌نام</t>
        </is>
      </c>
      <c r="J18" s="2" t="inlineStr">
        <is>
          <t>خرید</t>
        </is>
      </c>
      <c r="K18" s="2" t="inlineStr">
        <is>
          <t>سرعت تحویل/قیمت قطعی</t>
        </is>
      </c>
      <c r="L18" s="2" t="inlineStr">
        <is>
          <t>نامشخص</t>
        </is>
      </c>
      <c r="M18" s="2" t="inlineStr">
        <is>
          <t>تحلیل (نه واقعیت اثبات‌شده) بر پایه شواهد ثانویه</t>
        </is>
      </c>
    </row>
    <row r="19">
      <c r="A19" s="2" t="inlineStr">
        <is>
          <t>CMP-019</t>
        </is>
      </c>
      <c r="B19" s="2" t="inlineStr">
        <is>
          <t>MVM؛ FOWNIX / Fownix NEV؛ XTRIM (EXEED)</t>
        </is>
      </c>
      <c r="C19" s="2" t="inlineStr">
        <is>
          <t>طرح فروش (فعالیت فروش؛ مرز با کمپین)</t>
        </is>
      </c>
      <c r="D19" s="2" t="inlineStr">
        <is>
          <t>فروش نقدی بدون قرعه‌کشی مدیران خودرو (شهریور ۱۴۰۵)</t>
        </is>
      </c>
      <c r="E19" s="2" t="inlineStr">
        <is>
          <t>«بدون قرعه‌کشی»</t>
        </is>
      </c>
      <c r="F19" s="2" t="inlineStr">
        <is>
          <t>نامشخص</t>
        </is>
      </c>
      <c r="G19" s="2" t="inlineStr">
        <is>
          <t>قیمت قطعی؛ تحویل ۹۰ روز کاری</t>
        </is>
      </c>
      <c r="H19" s="2" t="inlineStr">
        <is>
          <t>نامشخص</t>
        </is>
      </c>
      <c r="I19" s="2" t="inlineStr">
        <is>
          <t>ثبت‌نام</t>
        </is>
      </c>
      <c r="J19" s="2" t="inlineStr">
        <is>
          <t>خرید</t>
        </is>
      </c>
      <c r="K19" s="2" t="inlineStr">
        <is>
          <t>قیمت قطعی</t>
        </is>
      </c>
      <c r="L19" s="2" t="inlineStr">
        <is>
          <t>نامشخص</t>
        </is>
      </c>
      <c r="M19" s="2" t="inlineStr">
        <is>
          <t>شواهد ناکافی برای تحلیل خلاقه معتبر</t>
        </is>
      </c>
    </row>
    <row r="20">
      <c r="A20" s="2" t="inlineStr">
        <is>
          <t>CMP-020</t>
        </is>
      </c>
      <c r="B20" s="2" t="inlineStr">
        <is>
          <t>FOWNIX / Fownix NEV</t>
        </is>
      </c>
      <c r="C20" s="2" t="inlineStr">
        <is>
          <t>کمپین تبلیغاتی/ترویجی</t>
        </is>
      </c>
      <c r="D20" s="2" t="inlineStr">
        <is>
          <t>رپورتاژ «فونیکس، ققنوسی بر فراز بازار خودروی ایران»</t>
        </is>
      </c>
      <c r="E20" s="2" t="inlineStr">
        <is>
          <t>فونیکس = ققنوس (روایت برند پریمیوم)</t>
        </is>
      </c>
      <c r="F20" s="2" t="inlineStr">
        <is>
          <t>استعاره ققنوس برای نام برند</t>
        </is>
      </c>
      <c r="G20" s="2" t="inlineStr">
        <is>
          <t>نامشخص</t>
        </is>
      </c>
      <c r="H20" s="2" t="inlineStr">
        <is>
          <t>خریداران بالقوه پریمیوم</t>
        </is>
      </c>
      <c r="I20" s="2" t="inlineStr">
        <is>
          <t>نامشخص</t>
        </is>
      </c>
      <c r="J20" s="2" t="inlineStr">
        <is>
          <t>آگاهی</t>
        </is>
      </c>
      <c r="K20" s="2" t="inlineStr">
        <is>
          <t>پرستیژ/طراحی</t>
        </is>
      </c>
      <c r="L20" s="2" t="inlineStr">
        <is>
          <t>نامشخص</t>
        </is>
      </c>
      <c r="M20" s="2" t="inlineStr">
        <is>
          <t>شواهد ناکافی برای تحلیل خلاقه معتبر</t>
        </is>
      </c>
    </row>
    <row r="21">
      <c r="A21" s="2" t="inlineStr">
        <is>
          <t>CMP-021</t>
        </is>
      </c>
      <c r="B21" s="2" t="inlineStr">
        <is>
          <t>KMC؛ JAC؛ Hyundai</t>
        </is>
      </c>
      <c r="C21" s="2" t="inlineStr">
        <is>
          <t>طرح فروش (فعالیت فروش؛ مرز با کمپین)</t>
        </is>
      </c>
      <c r="D21" s="2" t="inlineStr">
        <is>
          <t>فروش نقد و اقساط کرمان موتور (آبان-آذر ۱۴۰۴) شامل طرح اقساطی SR3</t>
        </is>
      </c>
      <c r="E21" s="2" t="inlineStr">
        <is>
          <t>نامشخص</t>
        </is>
      </c>
      <c r="F21" s="2" t="inlineStr">
        <is>
          <t>نامشخص</t>
        </is>
      </c>
      <c r="G21" s="2" t="inlineStr">
        <is>
          <t>اقساطی</t>
        </is>
      </c>
      <c r="H21" s="2" t="inlineStr">
        <is>
          <t>نامشخص</t>
        </is>
      </c>
      <c r="I21" s="2" t="inlineStr">
        <is>
          <t>ثبت‌نام</t>
        </is>
      </c>
      <c r="J21" s="2" t="inlineStr">
        <is>
          <t>خرید</t>
        </is>
      </c>
      <c r="K21" s="2" t="inlineStr">
        <is>
          <t>دسترسی (اقساط)</t>
        </is>
      </c>
      <c r="L21" s="2" t="inlineStr">
        <is>
          <t>نامشخص</t>
        </is>
      </c>
      <c r="M21" s="2" t="inlineStr">
        <is>
          <t>شواهد ناکافی برای تحلیل خلاقه معتبر</t>
        </is>
      </c>
    </row>
    <row r="22">
      <c r="A22" s="2" t="inlineStr">
        <is>
          <t>CMP-022</t>
        </is>
      </c>
      <c r="B22" s="2" t="inlineStr">
        <is>
          <t>KMC؛ JAC</t>
        </is>
      </c>
      <c r="C22" s="2" t="inlineStr">
        <is>
          <t>طرح فروش (فعالیت فروش؛ مرز با کمپین)</t>
        </is>
      </c>
      <c r="D22" s="2" t="inlineStr">
        <is>
          <t>طرح پیش‌فروش پاییزی کرمان موتور با پنج محصول</t>
        </is>
      </c>
      <c r="E22" s="2" t="inlineStr">
        <is>
          <t>نامشخص</t>
        </is>
      </c>
      <c r="F22" s="2" t="inlineStr">
        <is>
          <t>نامشخص</t>
        </is>
      </c>
      <c r="G22" s="2" t="inlineStr">
        <is>
          <t>تحویل بهار ۱۴۰۵</t>
        </is>
      </c>
      <c r="H22" s="2" t="inlineStr">
        <is>
          <t>نامشخص</t>
        </is>
      </c>
      <c r="I22" s="2" t="inlineStr">
        <is>
          <t>ثبت‌نام اینترنتی</t>
        </is>
      </c>
      <c r="J22" s="2" t="inlineStr">
        <is>
          <t>ثبت‌نام</t>
        </is>
      </c>
      <c r="K22" s="2" t="inlineStr">
        <is>
          <t>دسترسی</t>
        </is>
      </c>
      <c r="L22" s="2" t="inlineStr">
        <is>
          <t>نامشخص</t>
        </is>
      </c>
      <c r="M22" s="2" t="inlineStr">
        <is>
          <t>تحلیل (نه واقعیت اثبات‌شده) بر پایه شواهد ثانویه</t>
        </is>
      </c>
    </row>
    <row r="23">
      <c r="A23" s="2" t="inlineStr">
        <is>
          <t>CMP-023</t>
        </is>
      </c>
      <c r="B23" s="2" t="inlineStr">
        <is>
          <t>KMC</t>
        </is>
      </c>
      <c r="C23" s="2" t="inlineStr">
        <is>
          <t>طرح فروش (فعالیت فروش؛ مرز با کمپین)</t>
        </is>
      </c>
      <c r="D23" s="2" t="inlineStr">
        <is>
          <t>پیش‌فروش چهار محصول کرمان موتور (بهمن ۱۴۰۴)</t>
        </is>
      </c>
      <c r="E23" s="2" t="inlineStr">
        <is>
          <t>نامشخص</t>
        </is>
      </c>
      <c r="F23" s="2" t="inlineStr">
        <is>
          <t>نامشخص</t>
        </is>
      </c>
      <c r="G23" s="2" t="inlineStr">
        <is>
          <t>تحویل بهار ۱۴۰۵</t>
        </is>
      </c>
      <c r="H23" s="2" t="inlineStr">
        <is>
          <t>نامشخص</t>
        </is>
      </c>
      <c r="I23" s="2" t="inlineStr">
        <is>
          <t>ثبت‌نام</t>
        </is>
      </c>
      <c r="J23" s="2" t="inlineStr">
        <is>
          <t>ثبت‌نام</t>
        </is>
      </c>
      <c r="K23" s="2" t="inlineStr">
        <is>
          <t>نامشخص</t>
        </is>
      </c>
      <c r="L23" s="2" t="inlineStr">
        <is>
          <t>نامشخص</t>
        </is>
      </c>
      <c r="M23" s="2" t="inlineStr">
        <is>
          <t>شواهد ناکافی برای تحلیل خلاقه معتبر</t>
        </is>
      </c>
    </row>
    <row r="24">
      <c r="A24" s="2" t="inlineStr">
        <is>
          <t>CMP-024</t>
        </is>
      </c>
      <c r="B24" s="2" t="inlineStr">
        <is>
          <t>Hyundai</t>
        </is>
      </c>
      <c r="C24" s="2" t="inlineStr">
        <is>
          <t>کمپین تبلیغاتی/ترویجی</t>
        </is>
      </c>
      <c r="D24" s="2" t="inlineStr">
        <is>
          <t>اعلام واردات هیوندای آزرا ۲۰۲۶</t>
        </is>
      </c>
      <c r="E24" s="2" t="inlineStr">
        <is>
          <t>نامشخص</t>
        </is>
      </c>
      <c r="F24" s="2" t="inlineStr">
        <is>
          <t>نامشخص</t>
        </is>
      </c>
      <c r="G24" s="2" t="inlineStr">
        <is>
          <t>نامشخص</t>
        </is>
      </c>
      <c r="H24" s="2" t="inlineStr">
        <is>
          <t>خریداران سدان لوکس</t>
        </is>
      </c>
      <c r="I24" s="2" t="inlineStr">
        <is>
          <t>نامشخص</t>
        </is>
      </c>
      <c r="J24" s="2" t="inlineStr">
        <is>
          <t>آگاهی</t>
        </is>
      </c>
      <c r="K24" s="2" t="inlineStr">
        <is>
          <t>طراحی</t>
        </is>
      </c>
      <c r="L24" s="2" t="inlineStr">
        <is>
          <t>نامشخص</t>
        </is>
      </c>
      <c r="M24" s="2" t="inlineStr">
        <is>
          <t>شواهد ناکافی برای تحلیل خلاقه معتبر</t>
        </is>
      </c>
    </row>
    <row r="25">
      <c r="A25" s="2" t="inlineStr">
        <is>
          <t>CMP-025</t>
        </is>
      </c>
      <c r="B25" s="2" t="inlineStr">
        <is>
          <t>Fidelity / Dignity / Respect (برندهای گروه بهمن)</t>
        </is>
      </c>
      <c r="C25" s="2" t="inlineStr">
        <is>
          <t>طرح فروش (فعالیت فروش؛ مرز با کمپین)</t>
        </is>
      </c>
      <c r="D25" s="2" t="inlineStr">
        <is>
          <t>ششمین مرحله فروش بهمن موتور (پاییز ۱۴۰۴)</t>
        </is>
      </c>
      <c r="E25" s="2" t="inlineStr">
        <is>
          <t>نامشخص</t>
        </is>
      </c>
      <c r="F25" s="2" t="inlineStr">
        <is>
          <t>نامشخص</t>
        </is>
      </c>
      <c r="G25" s="2" t="inlineStr">
        <is>
          <t>نامشخص</t>
        </is>
      </c>
      <c r="H25" s="2" t="inlineStr">
        <is>
          <t>نامشخص</t>
        </is>
      </c>
      <c r="I25" s="2" t="inlineStr">
        <is>
          <t>ثبت‌نام</t>
        </is>
      </c>
      <c r="J25" s="2" t="inlineStr">
        <is>
          <t>خرید</t>
        </is>
      </c>
      <c r="K25" s="2" t="inlineStr">
        <is>
          <t>نامشخص</t>
        </is>
      </c>
      <c r="L25" s="2" t="inlineStr">
        <is>
          <t>نامشخص</t>
        </is>
      </c>
      <c r="M25" s="2" t="inlineStr">
        <is>
          <t>شواهد ناکافی برای تحلیل خلاقه معتبر</t>
        </is>
      </c>
    </row>
    <row r="26">
      <c r="A26" s="2" t="inlineStr">
        <is>
          <t>CMP-026</t>
        </is>
      </c>
      <c r="B26" s="2" t="inlineStr">
        <is>
          <t>Haval / Shavaal</t>
        </is>
      </c>
      <c r="C26" s="2" t="inlineStr">
        <is>
          <t>طرح فروش (فعالیت فروش؛ مرز با کمپین)</t>
        </is>
      </c>
      <c r="D26" s="2" t="inlineStr">
        <is>
          <t>فروش فوری شوال ۶ (هاوال H6 مونتاژی)</t>
        </is>
      </c>
      <c r="E26" s="2" t="inlineStr">
        <is>
          <t>نامشخص</t>
        </is>
      </c>
      <c r="F26" s="2" t="inlineStr">
        <is>
          <t>نامشخص</t>
        </is>
      </c>
      <c r="G26" s="2" t="inlineStr">
        <is>
          <t>۴.۶۵۱ میلیارد تومان؛ تحویل ۳۰ روزه</t>
        </is>
      </c>
      <c r="H26" s="2" t="inlineStr">
        <is>
          <t>نامشخص</t>
        </is>
      </c>
      <c r="I26" s="2" t="inlineStr">
        <is>
          <t>ثبت‌نام</t>
        </is>
      </c>
      <c r="J26" s="2" t="inlineStr">
        <is>
          <t>خرید</t>
        </is>
      </c>
      <c r="K26" s="2" t="inlineStr">
        <is>
          <t>سرعت تحویل</t>
        </is>
      </c>
      <c r="L26" s="2" t="inlineStr">
        <is>
          <t>نامشخص</t>
        </is>
      </c>
      <c r="M26" s="2" t="inlineStr">
        <is>
          <t>شواهد ناکافی برای تحلیل خلاقه معتبر</t>
        </is>
      </c>
    </row>
    <row r="27">
      <c r="A27" s="2" t="inlineStr">
        <is>
          <t>CMP-027</t>
        </is>
      </c>
      <c r="B27" s="2" t="inlineStr">
        <is>
          <t>Fidelity / Dignity / Respect (برندهای گروه بهمن)</t>
        </is>
      </c>
      <c r="C27" s="2" t="inlineStr">
        <is>
          <t>طرح فروش (فعالیت فروش؛ مرز با کمپین)</t>
        </is>
      </c>
      <c r="D27" s="2" t="inlineStr">
        <is>
          <t>ثبت‌نام/فروش فوری بهمن موتور (شهریور ۱۴۰۵)</t>
        </is>
      </c>
      <c r="E27" s="2" t="inlineStr">
        <is>
          <t>نامشخص</t>
        </is>
      </c>
      <c r="F27" s="2" t="inlineStr">
        <is>
          <t>نامشخص</t>
        </is>
      </c>
      <c r="G27" s="2" t="inlineStr">
        <is>
          <t>نامشخص</t>
        </is>
      </c>
      <c r="H27" s="2" t="inlineStr">
        <is>
          <t>شامل طرح جوانی جمعیت (طبق باما)</t>
        </is>
      </c>
      <c r="I27" s="2" t="inlineStr">
        <is>
          <t>ثبت‌نام</t>
        </is>
      </c>
      <c r="J27" s="2" t="inlineStr">
        <is>
          <t>خرید</t>
        </is>
      </c>
      <c r="K27" s="2" t="inlineStr">
        <is>
          <t>نامشخص</t>
        </is>
      </c>
      <c r="L27" s="2" t="inlineStr">
        <is>
          <t>نامشخص</t>
        </is>
      </c>
      <c r="M27" s="2" t="inlineStr">
        <is>
          <t>شواهد ناکافی برای تحلیل خلاقه معتبر</t>
        </is>
      </c>
    </row>
    <row r="28">
      <c r="A28" s="2" t="inlineStr">
        <is>
          <t>CMP-028</t>
        </is>
      </c>
      <c r="B28" s="2" t="inlineStr">
        <is>
          <t>Fidelity / Dignity / Respect (برندهای گروه بهمن)؛ Haval / Shavaal</t>
        </is>
      </c>
      <c r="C28" s="2" t="inlineStr">
        <is>
          <t>کمپین نمایشگاهی/رویدادی</t>
        </is>
      </c>
      <c r="D28" s="2" t="inlineStr">
        <is>
          <t>حضور گروه بهمن در نمایشگاه تهران ۱۴۰۵ با ۵ رونمایی (اوتار ۰۷، اینووی، فورس F60، ون VM2 اکو و VIP)</t>
        </is>
      </c>
      <c r="E28" s="2" t="inlineStr">
        <is>
          <t>نامشخص</t>
        </is>
      </c>
      <c r="F28" s="2" t="inlineStr">
        <is>
          <t>نامشخص</t>
        </is>
      </c>
      <c r="G28" s="2" t="inlineStr">
        <is>
          <t>نامشخص</t>
        </is>
      </c>
      <c r="H28" s="2" t="inlineStr">
        <is>
          <t>بازدیدکنندگان</t>
        </is>
      </c>
      <c r="I28" s="2" t="inlineStr">
        <is>
          <t>نامشخص</t>
        </is>
      </c>
      <c r="J28" s="2" t="inlineStr">
        <is>
          <t>آگاهی</t>
        </is>
      </c>
      <c r="K28" s="2" t="inlineStr">
        <is>
          <t>تنوع سبد</t>
        </is>
      </c>
      <c r="L28" s="2" t="inlineStr">
        <is>
          <t>نامشخص</t>
        </is>
      </c>
      <c r="M28" s="2" t="inlineStr">
        <is>
          <t>تحلیل (نه واقعیت اثبات‌شده) بر پایه شواهد ثانویه</t>
        </is>
      </c>
    </row>
    <row r="29">
      <c r="A29" s="2" t="inlineStr">
        <is>
          <t>CMP-029</t>
        </is>
      </c>
      <c r="B29" s="2" t="inlineStr">
        <is>
          <t>Renault؛ ERES (SERES) / AITO</t>
        </is>
      </c>
      <c r="C29" s="2" t="inlineStr">
        <is>
          <t>کمپین نمایشگاهی/رویدادی</t>
        </is>
      </c>
      <c r="D29" s="2" t="inlineStr">
        <is>
          <t>حضور یکپارچه ماموت خودرو در نمایشگاه تهران؛ رونمایی رنو گرند کولئوس نسل جدید و آیتو M6 + بخش تیونینگ</t>
        </is>
      </c>
      <c r="E29" s="2" t="inlineStr">
        <is>
          <t>نامشخص</t>
        </is>
      </c>
      <c r="F29" s="2" t="inlineStr">
        <is>
          <t>ساختار یکپارچه همه برندها و خدمات پریمیوم در یک فضا؛ بخش تیونینگ</t>
        </is>
      </c>
      <c r="G29" s="2" t="inlineStr">
        <is>
          <t>نامشخص</t>
        </is>
      </c>
      <c r="H29" s="2" t="inlineStr">
        <is>
          <t>بازدیدکنندگان؛ علاقه‌مندان پرمیوم/برقی</t>
        </is>
      </c>
      <c r="I29" s="2" t="inlineStr">
        <is>
          <t>نامشخص</t>
        </is>
      </c>
      <c r="J29" s="2" t="inlineStr">
        <is>
          <t>آگاهی/بررسی</t>
        </is>
      </c>
      <c r="K29" s="2" t="inlineStr">
        <is>
          <t>فناوری/پرستیژ</t>
        </is>
      </c>
      <c r="L29" s="2" t="inlineStr">
        <is>
          <t>بله (نمایشگاه + رسانه)</t>
        </is>
      </c>
      <c r="M29" s="2" t="inlineStr">
        <is>
          <t>تحلیل (نه واقعیت اثبات‌شده) بر پایه شواهد ثانویه</t>
        </is>
      </c>
    </row>
    <row r="30">
      <c r="A30" s="2" t="inlineStr">
        <is>
          <t>CMP-030</t>
        </is>
      </c>
      <c r="B30" s="2" t="inlineStr">
        <is>
          <t>ERES (SERES) / AITO</t>
        </is>
      </c>
      <c r="C30" s="2" t="inlineStr">
        <is>
          <t>کمپین تبلیغاتی/ترویجی</t>
        </is>
      </c>
      <c r="D30" s="2" t="inlineStr">
        <is>
          <t>کمپین برند ERES — فاز جدید ارتباطات خلاقانه</t>
        </is>
      </c>
      <c r="E30" s="2" t="inlineStr">
        <is>
          <t>تمرکز بر «تجربه و روایت» به‌جای فهرست مشخصات (نقل از مدیر بازاریابی)</t>
        </is>
      </c>
      <c r="F30" s="2" t="inlineStr">
        <is>
          <t>روایت‌محور، تجربه‌محور</t>
        </is>
      </c>
      <c r="G30" s="2" t="inlineStr">
        <is>
          <t>نامشخص</t>
        </is>
      </c>
      <c r="H30" s="2" t="inlineStr">
        <is>
          <t>نامشخص</t>
        </is>
      </c>
      <c r="I30" s="2" t="inlineStr">
        <is>
          <t>نامشخص</t>
        </is>
      </c>
      <c r="J30" s="2" t="inlineStr">
        <is>
          <t>آگاهی</t>
        </is>
      </c>
      <c r="K30" s="2" t="inlineStr">
        <is>
          <t>تجربه/سبک زندگی</t>
        </is>
      </c>
      <c r="L30" s="2" t="inlineStr">
        <is>
          <t>نامشخص</t>
        </is>
      </c>
      <c r="M30" s="2" t="inlineStr">
        <is>
          <t>شواهد ناکافی برای تحلیل خلاقه معتبر</t>
        </is>
      </c>
    </row>
    <row r="31">
      <c r="A31" s="2" t="inlineStr">
        <is>
          <t>CMP-031</t>
        </is>
      </c>
      <c r="B31" s="2" t="inlineStr">
        <is>
          <t>Lukano (مکث موتور)</t>
        </is>
      </c>
      <c r="C31" s="2" t="inlineStr">
        <is>
          <t>کمپین نمایشگاهی/رویدادی</t>
        </is>
      </c>
      <c r="D31" s="2" t="inlineStr">
        <is>
          <t>رونمایی نسخه‌های پلاگین‌هیبرید لوکانو L7 و L8 در نمایشگاه تهران</t>
        </is>
      </c>
      <c r="E31" s="2" t="inlineStr">
        <is>
          <t>نامشخص</t>
        </is>
      </c>
      <c r="F31" s="2" t="inlineStr">
        <is>
          <t>نامشخص</t>
        </is>
      </c>
      <c r="G31" s="2" t="inlineStr">
        <is>
          <t>نامشخص</t>
        </is>
      </c>
      <c r="H31" s="2" t="inlineStr">
        <is>
          <t>بازدیدکنندگان</t>
        </is>
      </c>
      <c r="I31" s="2" t="inlineStr">
        <is>
          <t>نامشخص</t>
        </is>
      </c>
      <c r="J31" s="2" t="inlineStr">
        <is>
          <t>آگاهی</t>
        </is>
      </c>
      <c r="K31" s="2" t="inlineStr">
        <is>
          <t>فناوری</t>
        </is>
      </c>
      <c r="L31" s="2" t="inlineStr">
        <is>
          <t>نامشخص</t>
        </is>
      </c>
      <c r="M31" s="2" t="inlineStr">
        <is>
          <t>شواهد ناکافی برای تحلیل خلاقه معتبر</t>
        </is>
      </c>
    </row>
    <row r="32">
      <c r="A32" s="2" t="inlineStr">
        <is>
          <t>CMP-032</t>
        </is>
      </c>
      <c r="B32" s="2" t="inlineStr">
        <is>
          <t>Tisan (ری‌بج Jetour)؛ Jetour (برند اصلی)</t>
        </is>
      </c>
      <c r="C32" s="2" t="inlineStr">
        <is>
          <t>کمپین تبلیغاتی/ترویجی</t>
        </is>
      </c>
      <c r="D32" s="2" t="inlineStr">
        <is>
          <t>رونمایی تیسان T1، T2 و G700 در ایران‌مال با حضور چهره‌های سرشناس</t>
        </is>
      </c>
      <c r="E32" s="2" t="inlineStr">
        <is>
          <t>«مکعب‌های تیسان» (تعبیر رسانه‌ای از طراحی باکسی)</t>
        </is>
      </c>
      <c r="F32" s="2" t="inlineStr">
        <is>
          <t>رونمایی در مرکز خرید با حضور سیدجواد هاشمی، مجید واشقانی و جواد داوری</t>
        </is>
      </c>
      <c r="G32" s="2" t="inlineStr">
        <is>
          <t>گارانتی شش‌ساله / ۲۰۰ هزار کیلومتر</t>
        </is>
      </c>
      <c r="H32" s="2" t="inlineStr">
        <is>
          <t>خریداران شاسی‌بلند؛ رسانه‌ها؛ عموم</t>
        </is>
      </c>
      <c r="I32" s="2" t="inlineStr">
        <is>
          <t>نامشخص</t>
        </is>
      </c>
      <c r="J32" s="2" t="inlineStr">
        <is>
          <t>آگاهی</t>
        </is>
      </c>
      <c r="K32" s="2" t="inlineStr">
        <is>
          <t>طراحی/فناوری</t>
        </is>
      </c>
      <c r="L32" s="2" t="inlineStr">
        <is>
          <t>بله (رویداد + نمایشگاه + رسانه)</t>
        </is>
      </c>
      <c r="M32" s="2" t="inlineStr">
        <is>
          <t>تحلیل (نه واقعیت اثبات‌شده) بر پایه شواهد ثانویه</t>
        </is>
      </c>
    </row>
    <row r="33">
      <c r="A33" s="2" t="inlineStr">
        <is>
          <t>CMP-033</t>
        </is>
      </c>
      <c r="B33" s="2" t="inlineStr">
        <is>
          <t>Tisan (ری‌بج Jetour)</t>
        </is>
      </c>
      <c r="C33" s="2" t="inlineStr">
        <is>
          <t>کمپین نمایشگاهی/رویدادی</t>
        </is>
      </c>
      <c r="D33" s="2" t="inlineStr">
        <is>
          <t>رونمایی تیسان T01، T02 آفرود و G700 در نمایشگاه خودرو تهران</t>
        </is>
      </c>
      <c r="E33" s="2" t="inlineStr">
        <is>
          <t>نامشخص</t>
        </is>
      </c>
      <c r="F33" s="2" t="inlineStr">
        <is>
          <t>تأکید بر برد ترکیبی</t>
        </is>
      </c>
      <c r="G33" s="2" t="inlineStr">
        <is>
          <t>نامشخص</t>
        </is>
      </c>
      <c r="H33" s="2" t="inlineStr">
        <is>
          <t>نامشخص</t>
        </is>
      </c>
      <c r="I33" s="2" t="inlineStr">
        <is>
          <t>نامشخص</t>
        </is>
      </c>
      <c r="J33" s="2" t="inlineStr">
        <is>
          <t>آگاهی/بررسی</t>
        </is>
      </c>
      <c r="K33" s="2" t="inlineStr">
        <is>
          <t>فناوری/برد</t>
        </is>
      </c>
      <c r="L33" s="2" t="inlineStr">
        <is>
          <t>نامشخص</t>
        </is>
      </c>
      <c r="M33" s="2" t="inlineStr">
        <is>
          <t>تحلیل (نه واقعیت اثبات‌شده) بر پایه شواهد ثانویه</t>
        </is>
      </c>
    </row>
    <row r="34">
      <c r="A34" s="2" t="inlineStr">
        <is>
          <t>CMP-034</t>
        </is>
      </c>
      <c r="B34" s="2" t="inlineStr">
        <is>
          <t>Tisan (ری‌بج Jetour)</t>
        </is>
      </c>
      <c r="C34" s="2" t="inlineStr">
        <is>
          <t>کمپین تبلیغاتی/ترویجی</t>
        </is>
      </c>
      <c r="D34" s="2" t="inlineStr">
        <is>
          <t>رونمایی تیسان S05 در ایران‌مال و آغاز فروش</t>
        </is>
      </c>
      <c r="E34" s="2" t="inlineStr">
        <is>
          <t>نامشخص</t>
        </is>
      </c>
      <c r="F34" s="2" t="inlineStr">
        <is>
          <t>رونمایی شبانه در مرکز خرید</t>
        </is>
      </c>
      <c r="G34" s="2" t="inlineStr">
        <is>
          <t>عرضه حدود ۱.۹۵ میلیارد تومان (دی ۱۴۰۴)</t>
        </is>
      </c>
      <c r="H34" s="2" t="inlineStr">
        <is>
          <t>خریداران کراس‌اوور اقتصادی (رقیب MVM X55 Pro)</t>
        </is>
      </c>
      <c r="I34" s="2" t="inlineStr">
        <is>
          <t>ثبت‌نام</t>
        </is>
      </c>
      <c r="J34" s="2" t="inlineStr">
        <is>
          <t>آگاهی/خرید</t>
        </is>
      </c>
      <c r="K34" s="2" t="inlineStr">
        <is>
          <t>قیمت/طراحی</t>
        </is>
      </c>
      <c r="L34" s="2" t="inlineStr">
        <is>
          <t>بله (رویداد + فروش)</t>
        </is>
      </c>
      <c r="M34" s="2" t="inlineStr">
        <is>
          <t>تحلیل (نه واقعیت اثبات‌شده) بر پایه شواهد ثانویه</t>
        </is>
      </c>
    </row>
    <row r="35">
      <c r="A35" s="2" t="inlineStr">
        <is>
          <t>CMP-035</t>
        </is>
      </c>
      <c r="B35" s="2" t="inlineStr">
        <is>
          <t>BYD</t>
        </is>
      </c>
      <c r="C35" s="2" t="inlineStr">
        <is>
          <t>طرح فروش (فعالیت فروش؛ مرز با کمپین)</t>
        </is>
      </c>
      <c r="D35" s="2" t="inlineStr">
        <is>
          <t>طرح فروش BYD چین‌ال و سانگ پلاس با قیمت قطعی</t>
        </is>
      </c>
      <c r="E35" s="2" t="inlineStr">
        <is>
          <t>نامشخص</t>
        </is>
      </c>
      <c r="F35" s="2" t="inlineStr">
        <is>
          <t>نامشخص</t>
        </is>
      </c>
      <c r="G35" s="2" t="inlineStr">
        <is>
          <t>قیمت قطعی</t>
        </is>
      </c>
      <c r="H35" s="2" t="inlineStr">
        <is>
          <t>نامشخص</t>
        </is>
      </c>
      <c r="I35" s="2" t="inlineStr">
        <is>
          <t>ثبت‌نام</t>
        </is>
      </c>
      <c r="J35" s="2" t="inlineStr">
        <is>
          <t>خرید</t>
        </is>
      </c>
      <c r="K35" s="2" t="inlineStr">
        <is>
          <t>قیمت قطعی</t>
        </is>
      </c>
      <c r="L35" s="2" t="inlineStr">
        <is>
          <t>نامشخص</t>
        </is>
      </c>
      <c r="M35" s="2" t="inlineStr">
        <is>
          <t>شواهد ناکافی برای تحلیل خلاقه معتبر</t>
        </is>
      </c>
    </row>
    <row r="36">
      <c r="A36" s="2" t="inlineStr">
        <is>
          <t>CMP-036</t>
        </is>
      </c>
      <c r="B36" s="2" t="inlineStr">
        <is>
          <t>Changan</t>
        </is>
      </c>
      <c r="C36" s="2" t="inlineStr">
        <is>
          <t>طرح فروش (فعالیت فروش؛ مرز با کمپین)</t>
        </is>
      </c>
      <c r="D36" s="2" t="inlineStr">
        <is>
          <t>فروش فوری چانگان یونی‌تی ۲۰۲۶ (خرداد تا شهریور ۱۴۰۵)</t>
        </is>
      </c>
      <c r="E36" s="2" t="inlineStr">
        <is>
          <t>«بدون قرعه‌کشی»</t>
        </is>
      </c>
      <c r="F36" s="2" t="inlineStr">
        <is>
          <t>نامشخص</t>
        </is>
      </c>
      <c r="G36" s="2" t="inlineStr">
        <is>
          <t>کاهش قیمت از ۶.۹۸ به ۶.۵۸ میلیارد تومان؛ تحویل ۳۰ روزه</t>
        </is>
      </c>
      <c r="H36" s="2" t="inlineStr">
        <is>
          <t>نامشخص</t>
        </is>
      </c>
      <c r="I36" s="2" t="inlineStr">
        <is>
          <t>ثبت‌نام</t>
        </is>
      </c>
      <c r="J36" s="2" t="inlineStr">
        <is>
          <t>خرید</t>
        </is>
      </c>
      <c r="K36" s="2" t="inlineStr">
        <is>
          <t>قیمت</t>
        </is>
      </c>
      <c r="L36" s="2" t="inlineStr">
        <is>
          <t>نامشخص</t>
        </is>
      </c>
      <c r="M36" s="2" t="inlineStr">
        <is>
          <t>تحلیل (نه واقعیت اثبات‌شده) بر پایه شواهد ثانویه</t>
        </is>
      </c>
    </row>
    <row r="37">
      <c r="A37" s="2" t="inlineStr">
        <is>
          <t>CMP-037</t>
        </is>
      </c>
      <c r="B37" s="2" t="inlineStr">
        <is>
          <t>Lamari</t>
        </is>
      </c>
      <c r="C37" s="2" t="inlineStr">
        <is>
          <t>کمپین تبلیغاتی/ترویجی</t>
        </is>
      </c>
      <c r="D37" s="2" t="inlineStr">
        <is>
          <t>«پاییز روی دور اطمینان» — طرح ویژه خدمات پس از فروش لاماری</t>
        </is>
      </c>
      <c r="E37" s="2" t="inlineStr">
        <is>
          <t>پاییز روی دور اطمینان</t>
        </is>
      </c>
      <c r="F37" s="2" t="inlineStr">
        <is>
          <t>بازی کلامی «دور اطمینان»</t>
        </is>
      </c>
      <c r="G37" s="2" t="inlineStr">
        <is>
          <t>نامشخص</t>
        </is>
      </c>
      <c r="H37" s="2" t="inlineStr">
        <is>
          <t>مالکان لاماری</t>
        </is>
      </c>
      <c r="I37" s="2" t="inlineStr">
        <is>
          <t>مراجعه به نمایندگی</t>
        </is>
      </c>
      <c r="J37" s="2" t="inlineStr">
        <is>
          <t>وفادارسازی</t>
        </is>
      </c>
      <c r="K37" s="2" t="inlineStr">
        <is>
          <t>خدمات</t>
        </is>
      </c>
      <c r="L37" s="2" t="inlineStr">
        <is>
          <t>نامشخص</t>
        </is>
      </c>
      <c r="M37" s="2" t="inlineStr">
        <is>
          <t>شواهد ناکافی برای تحلیل خلاقه معتبر</t>
        </is>
      </c>
    </row>
    <row r="38">
      <c r="A38" s="2" t="inlineStr">
        <is>
          <t>CMP-038</t>
        </is>
      </c>
      <c r="B38" s="2" t="inlineStr">
        <is>
          <t>Nissan</t>
        </is>
      </c>
      <c r="C38" s="2" t="inlineStr">
        <is>
          <t>کمپین نمایشگاهی/رویدادی</t>
        </is>
      </c>
      <c r="D38" s="2" t="inlineStr">
        <is>
          <t>رونمایی نیسان قشقایی ۲۰۲۶ (سفارش اروپا) در نمایشگاه تهران</t>
        </is>
      </c>
      <c r="E38" s="2" t="inlineStr">
        <is>
          <t>نامشخص</t>
        </is>
      </c>
      <c r="F38" s="2" t="inlineStr">
        <is>
          <t>تأکید بر «سفارش اروپا / ساخت انگلستان»</t>
        </is>
      </c>
      <c r="G38" s="2" t="inlineStr">
        <is>
          <t>نامشخص</t>
        </is>
      </c>
      <c r="H38" s="2" t="inlineStr">
        <is>
          <t>خریداران کراس‌اوور وارداتی</t>
        </is>
      </c>
      <c r="I38" s="2" t="inlineStr">
        <is>
          <t>نامشخص</t>
        </is>
      </c>
      <c r="J38" s="2" t="inlineStr">
        <is>
          <t>آگاهی</t>
        </is>
      </c>
      <c r="K38" s="2" t="inlineStr">
        <is>
          <t>کیفیت/اصالت</t>
        </is>
      </c>
      <c r="L38" s="2" t="inlineStr">
        <is>
          <t>نامشخص</t>
        </is>
      </c>
      <c r="M38" s="2" t="inlineStr">
        <is>
          <t>تحلیل (نه واقعیت اثبات‌شده) بر پایه شواهد ثانویه</t>
        </is>
      </c>
    </row>
    <row r="39">
      <c r="A39" s="2" t="inlineStr">
        <is>
          <t>CMP-039</t>
        </is>
      </c>
      <c r="B39" s="2" t="inlineStr">
        <is>
          <t>Opel</t>
        </is>
      </c>
      <c r="C39" s="2" t="inlineStr">
        <is>
          <t>کمپین نمایشگاهی/رویدادی</t>
        </is>
      </c>
      <c r="D39" s="2" t="inlineStr">
        <is>
          <t>رونمایی اوپل گرندلند هیبرید (نسل دوم) و نمایش موکا (بنزینی/برقی) و کورسا</t>
        </is>
      </c>
      <c r="E39" s="2" t="inlineStr">
        <is>
          <t>نامشخص</t>
        </is>
      </c>
      <c r="F39" s="2" t="inlineStr">
        <is>
          <t>تأکید بر واردات مستقیم از آلمان</t>
        </is>
      </c>
      <c r="G39" s="2" t="inlineStr">
        <is>
          <t>نامشخص</t>
        </is>
      </c>
      <c r="H39" s="2" t="inlineStr">
        <is>
          <t>نامشخص</t>
        </is>
      </c>
      <c r="I39" s="2" t="inlineStr">
        <is>
          <t>نامشخص</t>
        </is>
      </c>
      <c r="J39" s="2" t="inlineStr">
        <is>
          <t>آگاهی</t>
        </is>
      </c>
      <c r="K39" s="2" t="inlineStr">
        <is>
          <t>فناوری (برقی)</t>
        </is>
      </c>
      <c r="L39" s="2" t="inlineStr">
        <is>
          <t>نامشخص</t>
        </is>
      </c>
      <c r="M39" s="2" t="inlineStr">
        <is>
          <t>تحلیل (نه واقعیت اثبات‌شده) بر پایه شواهد ثانویه</t>
        </is>
      </c>
    </row>
    <row r="40">
      <c r="A40" s="2" t="inlineStr">
        <is>
          <t>CMP-040</t>
        </is>
      </c>
      <c r="B40" s="2" t="inlineStr">
        <is>
          <t>Mazda؛ Volvo</t>
        </is>
      </c>
      <c r="C40" s="2" t="inlineStr">
        <is>
          <t>کمپین نمایشگاهی/رویدادی</t>
        </is>
      </c>
      <c r="D40" s="2" t="inlineStr">
        <is>
          <t>رونمایی مزدا CX-90 و نمایش ولوو در غرفه آفتاب خودرو</t>
        </is>
      </c>
      <c r="E40" s="2" t="inlineStr">
        <is>
          <t>نامشخص</t>
        </is>
      </c>
      <c r="F40" s="2" t="inlineStr">
        <is>
          <t>CX-90 در مرکز غرفه</t>
        </is>
      </c>
      <c r="G40" s="2" t="inlineStr">
        <is>
          <t>نامشخص</t>
        </is>
      </c>
      <c r="H40" s="2" t="inlineStr">
        <is>
          <t>خریداران پرمیوم</t>
        </is>
      </c>
      <c r="I40" s="2" t="inlineStr">
        <is>
          <t>نامشخص</t>
        </is>
      </c>
      <c r="J40" s="2" t="inlineStr">
        <is>
          <t>آگاهی</t>
        </is>
      </c>
      <c r="K40" s="2" t="inlineStr">
        <is>
          <t>پرستیژ</t>
        </is>
      </c>
      <c r="L40" s="2" t="inlineStr">
        <is>
          <t>نامشخص</t>
        </is>
      </c>
      <c r="M40" s="2" t="inlineStr">
        <is>
          <t>تحلیل (نه واقعیت اثبات‌شده) بر پایه شواهد ثانویه</t>
        </is>
      </c>
    </row>
    <row r="41">
      <c r="A41" s="2" t="inlineStr">
        <is>
          <t>CMP-041</t>
        </is>
      </c>
      <c r="B41" s="2" t="inlineStr">
        <is>
          <t>Mazda؛ Audi</t>
        </is>
      </c>
      <c r="C41" s="2" t="inlineStr">
        <is>
          <t>کمپین نمایشگاهی/رویدادی</t>
        </is>
      </c>
      <c r="D41" s="2" t="inlineStr">
        <is>
          <t>نمایش چهار خودروی برقی و هیبریدی معین خودرو</t>
        </is>
      </c>
      <c r="E41" s="2" t="inlineStr">
        <is>
          <t>نامشخص</t>
        </is>
      </c>
      <c r="F41" s="2" t="inlineStr">
        <is>
          <t>نامشخص</t>
        </is>
      </c>
      <c r="G41" s="2" t="inlineStr">
        <is>
          <t>نامشخص</t>
        </is>
      </c>
      <c r="H41" s="2" t="inlineStr">
        <is>
          <t>نامشخص</t>
        </is>
      </c>
      <c r="I41" s="2" t="inlineStr">
        <is>
          <t>نامشخص</t>
        </is>
      </c>
      <c r="J41" s="2" t="inlineStr">
        <is>
          <t>آگاهی</t>
        </is>
      </c>
      <c r="K41" s="2" t="inlineStr">
        <is>
          <t>فناوری (برقی)</t>
        </is>
      </c>
      <c r="L41" s="2" t="inlineStr">
        <is>
          <t>نامشخص</t>
        </is>
      </c>
      <c r="M41" s="2" t="inlineStr">
        <is>
          <t>تحلیل (نه واقعیت اثبات‌شده) بر پایه شواهد ثانویه</t>
        </is>
      </c>
    </row>
    <row r="42">
      <c r="A42" s="2" t="inlineStr">
        <is>
          <t>CMP-042</t>
        </is>
      </c>
      <c r="B42" s="2" t="inlineStr">
        <is>
          <t>Hyundai؛ Kia</t>
        </is>
      </c>
      <c r="C42" s="2" t="inlineStr">
        <is>
          <t>کمپین نمایشگاهی/رویدادی</t>
        </is>
      </c>
      <c r="D42" s="2" t="inlineStr">
        <is>
          <t>هرمس خودرو با «چهره تازه»؛ رونمایی هیوندای آزرا ۳.۵ و کیا K4 و نمایش پالیسید</t>
        </is>
      </c>
      <c r="E42" s="2" t="inlineStr">
        <is>
          <t>«چهره تازه» (عنوان خبری)</t>
        </is>
      </c>
      <c r="F42" s="2" t="inlineStr">
        <is>
          <t>تمرکز بر خدمات مشتری و تأمین قطعات</t>
        </is>
      </c>
      <c r="G42" s="2" t="inlineStr">
        <is>
          <t>نامشخص</t>
        </is>
      </c>
      <c r="H42" s="2" t="inlineStr">
        <is>
          <t>نامشخص</t>
        </is>
      </c>
      <c r="I42" s="2" t="inlineStr">
        <is>
          <t>نامشخص</t>
        </is>
      </c>
      <c r="J42" s="2" t="inlineStr">
        <is>
          <t>آگاهی/بررسی</t>
        </is>
      </c>
      <c r="K42" s="2" t="inlineStr">
        <is>
          <t>خدمات</t>
        </is>
      </c>
      <c r="L42" s="2" t="inlineStr">
        <is>
          <t>نامشخص</t>
        </is>
      </c>
      <c r="M42" s="2" t="inlineStr">
        <is>
          <t>شواهد ناکافی برای تحلیل خلاقه معتبر</t>
        </is>
      </c>
    </row>
    <row r="43">
      <c r="A43" s="2" t="inlineStr">
        <is>
          <t>CMP-043</t>
        </is>
      </c>
      <c r="B43" s="2" t="inlineStr">
        <is>
          <t>Leapmotor / Tank (GWM)</t>
        </is>
      </c>
      <c r="C43" s="2" t="inlineStr">
        <is>
          <t>کمپین نمایشگاهی/رویدادی</t>
        </is>
      </c>
      <c r="D43" s="2" t="inlineStr">
        <is>
          <t>حضور شتابران خودرو با ۷ محصول (لیپ موتور تا تانک ۷۰۰)</t>
        </is>
      </c>
      <c r="E43" s="2" t="inlineStr">
        <is>
          <t>نامشخص</t>
        </is>
      </c>
      <c r="F43" s="2" t="inlineStr">
        <is>
          <t>نامشخص</t>
        </is>
      </c>
      <c r="G43" s="2" t="inlineStr">
        <is>
          <t>نامشخص</t>
        </is>
      </c>
      <c r="H43" s="2" t="inlineStr">
        <is>
          <t>نامشخص</t>
        </is>
      </c>
      <c r="I43" s="2" t="inlineStr">
        <is>
          <t>نامشخص</t>
        </is>
      </c>
      <c r="J43" s="2" t="inlineStr">
        <is>
          <t>آگاهی</t>
        </is>
      </c>
      <c r="K43" s="2" t="inlineStr">
        <is>
          <t>نامشخص</t>
        </is>
      </c>
      <c r="L43" s="2" t="inlineStr">
        <is>
          <t>نامشخص</t>
        </is>
      </c>
      <c r="M43" s="2" t="inlineStr">
        <is>
          <t>شواهد ناکافی برای تحلیل خلاقه معتبر</t>
        </is>
      </c>
    </row>
    <row r="44">
      <c r="A44" s="2" t="inlineStr">
        <is>
          <t>CMP-044</t>
        </is>
      </c>
      <c r="B44" s="2" t="inlineStr">
        <is>
          <t>دیار خودرو</t>
        </is>
      </c>
      <c r="C44" s="2" t="inlineStr">
        <is>
          <t>کمپین نمایشگاهی/رویدادی</t>
        </is>
      </c>
      <c r="D44" s="2" t="inlineStr">
        <is>
          <t>حضور دیار خودرو با سه محصول</t>
        </is>
      </c>
      <c r="E44" s="2" t="inlineStr">
        <is>
          <t>نامشخص</t>
        </is>
      </c>
      <c r="F44" s="2" t="inlineStr">
        <is>
          <t>نامشخص</t>
        </is>
      </c>
      <c r="G44" s="2" t="inlineStr">
        <is>
          <t>نامشخص</t>
        </is>
      </c>
      <c r="H44" s="2" t="inlineStr">
        <is>
          <t>نامشخص</t>
        </is>
      </c>
      <c r="I44" s="2" t="inlineStr">
        <is>
          <t>نامشخص</t>
        </is>
      </c>
      <c r="J44" s="2" t="inlineStr">
        <is>
          <t>آگاهی</t>
        </is>
      </c>
      <c r="K44" s="2" t="inlineStr">
        <is>
          <t>نامشخص</t>
        </is>
      </c>
      <c r="L44" s="2" t="inlineStr">
        <is>
          <t>نامشخص</t>
        </is>
      </c>
      <c r="M44" s="2" t="inlineStr">
        <is>
          <t>شواهد ناکافی برای تحلیل خلاقه معتبر</t>
        </is>
      </c>
    </row>
    <row r="45">
      <c r="A45" s="2" t="inlineStr">
        <is>
          <t>CMP-045</t>
        </is>
      </c>
      <c r="B45" s="2" t="inlineStr">
        <is>
          <t>Hyundai؛ Kia؛ Toyota؛ Suzuki؛ Skywell</t>
        </is>
      </c>
      <c r="C45" s="2" t="inlineStr">
        <is>
          <t>طرح فروش (فعالیت فروش؛ مرز با کمپین)</t>
        </is>
      </c>
      <c r="D45" s="2" t="inlineStr">
        <is>
          <t>دور آذر ۱۴۰۴ عرضه خودروهای وارداتی در سامانه یکپارچه</t>
        </is>
      </c>
      <c r="E45" s="2" t="inlineStr">
        <is>
          <t>نامشخص</t>
        </is>
      </c>
      <c r="F45" s="2" t="inlineStr">
        <is>
          <t>نامشخص</t>
        </is>
      </c>
      <c r="G45" s="2" t="inlineStr">
        <is>
          <t>بلوکه ۵۰۰ م.ت در حساب وکالتی</t>
        </is>
      </c>
      <c r="H45" s="2" t="inlineStr">
        <is>
          <t>متقاضیان با حساب وکالتی</t>
        </is>
      </c>
      <c r="I45" s="2" t="inlineStr">
        <is>
          <t>ثبت‌نام</t>
        </is>
      </c>
      <c r="J45" s="2" t="inlineStr">
        <is>
          <t>خرید</t>
        </is>
      </c>
      <c r="K45" s="2" t="inlineStr">
        <is>
          <t>دسترسی</t>
        </is>
      </c>
      <c r="L45" s="2" t="inlineStr">
        <is>
          <t>نامشخص</t>
        </is>
      </c>
      <c r="M45" s="2" t="inlineStr">
        <is>
          <t>تحلیل (نه واقعیت اثبات‌شده) بر پایه شواهد ثانویه</t>
        </is>
      </c>
    </row>
    <row r="46">
      <c r="A46" s="2" t="inlineStr">
        <is>
          <t>CMP-046</t>
        </is>
      </c>
      <c r="B46" s="2" t="inlineStr">
        <is>
          <t>Toyota؛ Kia؛ BYD؛ Skoda؛ Dacia؛ Mars (طبق اطلاعیه اتونوین)</t>
        </is>
      </c>
      <c r="C46" s="2" t="inlineStr">
        <is>
          <t>طرح فروش (فعالیت فروش؛ مرز با کمپین)</t>
        </is>
      </c>
      <c r="D46" s="2" t="inlineStr">
        <is>
          <t>دورهای ۱۴۰۵ عرضه خودروهای وارداتی (اردیبهشت، خرداد، تیر، مهر)</t>
        </is>
      </c>
      <c r="E46" s="2" t="inlineStr">
        <is>
          <t>«بدون قرعه‌کشی و به قیمت کارخانه» (عنوان خبری مهر)</t>
        </is>
      </c>
      <c r="F46" s="2" t="inlineStr">
        <is>
          <t>نامشخص</t>
        </is>
      </c>
      <c r="G46" s="2" t="inlineStr">
        <is>
          <t>نامشخص</t>
        </is>
      </c>
      <c r="H46" s="2" t="inlineStr">
        <is>
          <t>نامشخص</t>
        </is>
      </c>
      <c r="I46" s="2" t="inlineStr">
        <is>
          <t>ثبت‌نام</t>
        </is>
      </c>
      <c r="J46" s="2" t="inlineStr">
        <is>
          <t>خرید</t>
        </is>
      </c>
      <c r="K46" s="2" t="inlineStr">
        <is>
          <t>دسترسی/قیمت</t>
        </is>
      </c>
      <c r="L46" s="2" t="inlineStr">
        <is>
          <t>نامشخص</t>
        </is>
      </c>
      <c r="M46" s="2" t="inlineStr">
        <is>
          <t>تحلیل (نه واقعیت اثبات‌شده) بر پایه شواهد ثانویه</t>
        </is>
      </c>
    </row>
    <row r="47">
      <c r="A47" s="2" t="inlineStr">
        <is>
          <t>CMP-047</t>
        </is>
      </c>
      <c r="B47" s="2" t="inlineStr">
        <is>
          <t>BYD</t>
        </is>
      </c>
      <c r="C47" s="2" t="inlineStr">
        <is>
          <t>طرح فروش (فعالیت فروش؛ مرز با کمپین)</t>
        </is>
      </c>
      <c r="D47" s="2" t="inlineStr">
        <is>
          <t>عرضه BYD هان از طریق سامانه واردات</t>
        </is>
      </c>
      <c r="E47" s="2" t="inlineStr">
        <is>
          <t>نامشخص</t>
        </is>
      </c>
      <c r="F47" s="2" t="inlineStr">
        <is>
          <t>نامشخص</t>
        </is>
      </c>
      <c r="G47" s="2" t="inlineStr">
        <is>
          <t>نامشخص</t>
        </is>
      </c>
      <c r="H47" s="2" t="inlineStr">
        <is>
          <t>نامشخص</t>
        </is>
      </c>
      <c r="I47" s="2" t="inlineStr">
        <is>
          <t>ثبت سفارش</t>
        </is>
      </c>
      <c r="J47" s="2" t="inlineStr">
        <is>
          <t>خرید</t>
        </is>
      </c>
      <c r="K47" s="2" t="inlineStr">
        <is>
          <t>نامشخص</t>
        </is>
      </c>
      <c r="L47" s="2" t="inlineStr">
        <is>
          <t>نامشخص</t>
        </is>
      </c>
      <c r="M47" s="2" t="inlineStr">
        <is>
          <t>شواهد ناکافی برای تحلیل خلاقه معتبر</t>
        </is>
      </c>
    </row>
    <row r="48">
      <c r="A48" s="2" t="inlineStr">
        <is>
          <t>CMP-048</t>
        </is>
      </c>
      <c r="B48" s="2" t="inlineStr">
        <is>
          <t>Lamari</t>
        </is>
      </c>
      <c r="C48" s="2" t="inlineStr">
        <is>
          <t>طرح فروش (فعالیت فروش؛ مرز با کمپین)</t>
        </is>
      </c>
      <c r="D48" s="2" t="inlineStr">
        <is>
          <t>فروش لاماری ایما هیبرید (مهر ۱۴۰۴)</t>
        </is>
      </c>
      <c r="E48" s="2" t="inlineStr">
        <is>
          <t>نامشخص</t>
        </is>
      </c>
      <c r="F48" s="2" t="inlineStr">
        <is>
          <t>نامشخص</t>
        </is>
      </c>
      <c r="G48" s="2" t="inlineStr">
        <is>
          <t>نامشخص</t>
        </is>
      </c>
      <c r="H48" s="2" t="inlineStr">
        <is>
          <t>نامشخص</t>
        </is>
      </c>
      <c r="I48" s="2" t="inlineStr">
        <is>
          <t>ثبت‌نام</t>
        </is>
      </c>
      <c r="J48" s="2" t="inlineStr">
        <is>
          <t>خرید</t>
        </is>
      </c>
      <c r="K48" s="2" t="inlineStr">
        <is>
          <t>نامشخص</t>
        </is>
      </c>
      <c r="L48" s="2" t="inlineStr">
        <is>
          <t>نامشخص</t>
        </is>
      </c>
      <c r="M48" s="2" t="inlineStr">
        <is>
          <t>شواهد ناکافی برای تحلیل خلاقه معتبر</t>
        </is>
      </c>
    </row>
    <row r="49">
      <c r="A49" s="2" t="inlineStr">
        <is>
          <t>ECO-001</t>
        </is>
      </c>
      <c r="B49" s="2" t="inlineStr">
        <is>
          <t>خودرو۴۵ (پلتفرم خرید و فروش خودرو)</t>
        </is>
      </c>
      <c r="C49" s="2" t="inlineStr">
        <is>
          <t>اکوسیستم مرتبط (خارج از جامعه برند)</t>
        </is>
      </c>
      <c r="D49" s="2" t="inlineStr">
        <is>
          <t>کمپین محیطی «یک… آن فروخته شد»</t>
        </is>
      </c>
      <c r="E49" s="2" t="inlineStr">
        <is>
          <t>یک… آن فروخته شد</t>
        </is>
      </c>
      <c r="F49" s="2" t="inlineStr">
        <is>
          <t>نمایش «نتیجه نهایی» پیش از جزئیات؛ تأکید بر یک‌بار مراجعه</t>
        </is>
      </c>
      <c r="G49" s="2" t="inlineStr">
        <is>
          <t>نامشخص</t>
        </is>
      </c>
      <c r="H49" s="2" t="inlineStr">
        <is>
          <t>فروشندگان خودروی کارکرده در تهران</t>
        </is>
      </c>
      <c r="I49" s="2" t="inlineStr">
        <is>
          <t>نامشخص</t>
        </is>
      </c>
      <c r="J49" s="2" t="inlineStr">
        <is>
          <t>آگاهی</t>
        </is>
      </c>
      <c r="K49" s="2" t="inlineStr">
        <is>
          <t>سرعت/سهولت</t>
        </is>
      </c>
      <c r="L49" s="2" t="inlineStr">
        <is>
          <t>نامشخص</t>
        </is>
      </c>
      <c r="M49" s="2" t="inlineStr">
        <is>
          <t>تحلیل (نه واقعیت اثبات‌شده) بر پایه شواهد ثانویه</t>
        </is>
      </c>
    </row>
    <row r="50">
      <c r="A50" s="2" t="inlineStr">
        <is>
          <t>ECO-002</t>
        </is>
      </c>
      <c r="B50" s="2" t="inlineStr">
        <is>
          <t>کاسپین (روانکار/محصولات خودرویی)</t>
        </is>
      </c>
      <c r="C50" s="2" t="inlineStr">
        <is>
          <t>اکوسیستم مرتبط (خارج از جامعه برند)</t>
        </is>
      </c>
      <c r="D50" s="2" t="inlineStr">
        <is>
          <t>کمپین «آنفلوانزای خودرویی»</t>
        </is>
      </c>
      <c r="E50" s="2" t="inlineStr">
        <is>
          <t>آنفلوانزای خودرویی / «واکسن آنفلوانزای خودرویی»</t>
        </is>
      </c>
      <c r="F50" s="2" t="inlineStr">
        <is>
          <t>تیزینگ دو مرحله‌ای؛ فاز اول بدون نام برند</t>
        </is>
      </c>
      <c r="G50" s="2" t="inlineStr">
        <is>
          <t>نامشخص</t>
        </is>
      </c>
      <c r="H50" s="2" t="inlineStr">
        <is>
          <t>رانندگان تهران</t>
        </is>
      </c>
      <c r="I50" s="2" t="inlineStr">
        <is>
          <t>نامشخص</t>
        </is>
      </c>
      <c r="J50" s="2" t="inlineStr">
        <is>
          <t>آگاهی</t>
        </is>
      </c>
      <c r="K50" s="2" t="inlineStr">
        <is>
          <t>کنجکاوی</t>
        </is>
      </c>
      <c r="L50" s="2" t="inlineStr">
        <is>
          <t>نامشخص</t>
        </is>
      </c>
      <c r="M50" s="2" t="inlineStr">
        <is>
          <t>شواهد ناکافی برای تحلیل خلاقه معتبر</t>
        </is>
      </c>
    </row>
    <row r="51">
      <c r="A51" s="2" t="inlineStr">
        <is>
          <t>CMP-049</t>
        </is>
      </c>
      <c r="B51" s="2" t="inlineStr">
        <is>
          <t>ایران خودرو (IKCO) — تارا، ری‌را، دنا، سورن، پژو ۲۰۷</t>
        </is>
      </c>
      <c r="C51" s="2" t="inlineStr">
        <is>
          <t>کمپین تبلیغاتی/ترویجی</t>
        </is>
      </c>
      <c r="D51" s="2" t="inlineStr">
        <is>
          <t>مسابقه تولید محتوای اینستاگرامی «معرفی خودرو» در نمایشگاه خودرو تهران</t>
        </is>
      </c>
      <c r="E51" s="2" t="inlineStr">
        <is>
          <t>نامشخص</t>
        </is>
      </c>
      <c r="F51" s="2" t="inlineStr">
        <is>
          <t>کاربران ویدئوی حداکثر ۱:۳۰ از خودرو می‌سازند، به‌صورت ریلز منتشر و @official.ikco را تگ می‌کنند؛ داوری بر اساس کیفیت، خلاقیت، روایت و بازدید، نه فقط فالوور</t>
        </is>
      </c>
      <c r="G51" s="2" t="inlineStr">
        <is>
          <t>جایزه ۱۰۰، ۵۰ و ۲۵ میلیون تومان (جمع ۱۷۵ میلیون)</t>
        </is>
      </c>
      <c r="H51" s="2" t="inlineStr">
        <is>
          <t>بازدیدکنندگان نمایشگاه و تولیدکنندگان محتوا</t>
        </is>
      </c>
      <c r="I51" s="2" t="inlineStr">
        <is>
          <t>ساخت ریلز و تگ @official.ikco</t>
        </is>
      </c>
      <c r="J51" s="2" t="inlineStr">
        <is>
          <t>آگاهی/تعامل</t>
        </is>
      </c>
      <c r="K51" s="2" t="inlineStr">
        <is>
          <t>تجربه/مشارکت</t>
        </is>
      </c>
      <c r="L51" s="2" t="inlineStr">
        <is>
          <t>بله (نمایشگاه + اینستاگرام + رسانه)</t>
        </is>
      </c>
      <c r="M51" s="2" t="inlineStr">
        <is>
          <t>تحلیل (نه واقعیت اثبات‌شده) بر پایه شواهد ثانویه</t>
        </is>
      </c>
    </row>
    <row r="52">
      <c r="A52" s="2" t="inlineStr">
        <is>
          <t>CMP-050</t>
        </is>
      </c>
      <c r="B52" s="2" t="inlineStr">
        <is>
          <t>سایپا — شاهین، آریا، اطلس، ساینا، کوییک، ۱۵۱</t>
        </is>
      </c>
      <c r="C52" s="2" t="inlineStr">
        <is>
          <t>طرح فروش (فعالیت فروش؛ مرز با کمپین)</t>
        </is>
      </c>
      <c r="D52" s="2" t="inlineStr">
        <is>
          <t>فروش مشارکتی آریا اتوماتیک و کوییک S بدون قرعه‌کشی (مهر ۱۴۰۵)</t>
        </is>
      </c>
      <c r="E52" s="2" t="inlineStr">
        <is>
          <t>«بدون قرعه‌کشی»</t>
        </is>
      </c>
      <c r="F52" s="2" t="inlineStr">
        <is>
          <t>نامشخص</t>
        </is>
      </c>
      <c r="G52" s="2" t="inlineStr">
        <is>
          <t>پیش‌پرداخت دومرحله‌ای؛ سود مشارکت ۲۰.۵٪</t>
        </is>
      </c>
      <c r="H52" s="2" t="inlineStr">
        <is>
          <t>متقاضیان عادی (ظرفیت مازاد طرح حمایت از خانواده و جوانی جمعیت)</t>
        </is>
      </c>
      <c r="I52" s="2" t="inlineStr">
        <is>
          <t>ثبت‌نام</t>
        </is>
      </c>
      <c r="J52" s="2" t="inlineStr">
        <is>
          <t>ثبت‌نام</t>
        </is>
      </c>
      <c r="K52" s="2" t="inlineStr">
        <is>
          <t>دسترسی</t>
        </is>
      </c>
      <c r="L52" s="2" t="inlineStr">
        <is>
          <t>نامشخص</t>
        </is>
      </c>
      <c r="M52" s="2" t="inlineStr">
        <is>
          <t>تحلیل (نه واقعیت اثبات‌شده) بر پایه شواهد ثانویه</t>
        </is>
      </c>
    </row>
    <row r="53">
      <c r="A53" s="2" t="inlineStr">
        <is>
          <t>CMP-051</t>
        </is>
      </c>
      <c r="B53" s="2" t="inlineStr">
        <is>
          <t>Renault</t>
        </is>
      </c>
      <c r="C53" s="2" t="inlineStr">
        <is>
          <t>طرح فروش (فعالیت فروش؛ مرز با کمپین)</t>
        </is>
      </c>
      <c r="D53" s="2" t="inlineStr">
        <is>
          <t>فروش فوری رنو گرند کولئوس ۲۰۲۶</t>
        </is>
      </c>
      <c r="E53" s="2" t="inlineStr">
        <is>
          <t>نامشخص</t>
        </is>
      </c>
      <c r="F53" s="2" t="inlineStr">
        <is>
          <t>نامشخص</t>
        </is>
      </c>
      <c r="G53" s="2" t="inlineStr">
        <is>
          <t>قیمت قطعی ۱۴.۹ میلیارد تومان؛ نقدی؛ تحویل ۳۰ روزه</t>
        </is>
      </c>
      <c r="H53" s="2" t="inlineStr">
        <is>
          <t>خریداران شاسی‌بلند پرمیوم</t>
        </is>
      </c>
      <c r="I53" s="2" t="inlineStr">
        <is>
          <t>ثبت‌نام حضوری</t>
        </is>
      </c>
      <c r="J53" s="2" t="inlineStr">
        <is>
          <t>خرید</t>
        </is>
      </c>
      <c r="K53" s="2" t="inlineStr">
        <is>
          <t>پرستیژ/سرعت تحویل</t>
        </is>
      </c>
      <c r="L53" s="2" t="inlineStr">
        <is>
          <t>بله (نمایشگاه ← فروش)</t>
        </is>
      </c>
      <c r="M53" s="2" t="inlineStr">
        <is>
          <t>تحلیل (نه واقعیت اثبات‌شده) بر پایه شواهد ثانویه</t>
        </is>
      </c>
    </row>
    <row r="54">
      <c r="A54" s="2" t="inlineStr">
        <is>
          <t>CMP-052</t>
        </is>
      </c>
      <c r="B54" s="2" t="inlineStr">
        <is>
          <t>Nissan</t>
        </is>
      </c>
      <c r="C54" s="2" t="inlineStr">
        <is>
          <t>طرح فروش (فعالیت فروش؛ مرز با کمپین)</t>
        </is>
      </c>
      <c r="D54" s="2" t="inlineStr">
        <is>
          <t>فروش نیسان قشقایی آرینا درایو (تیر تا شهریور ۱۴۰۵)</t>
        </is>
      </c>
      <c r="E54" s="2" t="inlineStr">
        <is>
          <t>نامشخص</t>
        </is>
      </c>
      <c r="F54" s="2" t="inlineStr">
        <is>
          <t>نامشخص</t>
        </is>
      </c>
      <c r="G54" s="2" t="inlineStr">
        <is>
          <t>شهریور: ۷.۵۸ میلیارد تومان، تحویل ۳۰ روزه؛ تیر: دومرحله‌ای/اقساطی</t>
        </is>
      </c>
      <c r="H54" s="2" t="inlineStr">
        <is>
          <t>نامشخص</t>
        </is>
      </c>
      <c r="I54" s="2" t="inlineStr">
        <is>
          <t>ثبت‌نام</t>
        </is>
      </c>
      <c r="J54" s="2" t="inlineStr">
        <is>
          <t>خرید</t>
        </is>
      </c>
      <c r="K54" s="2" t="inlineStr">
        <is>
          <t>قیمت/سرعت تحویل</t>
        </is>
      </c>
      <c r="L54" s="2" t="inlineStr">
        <is>
          <t>نامشخص</t>
        </is>
      </c>
      <c r="M54" s="2" t="inlineStr">
        <is>
          <t>تحلیل (نه واقعیت اثبات‌شده) بر پایه شواهد ثانویه</t>
        </is>
      </c>
    </row>
    <row r="55">
      <c r="A55" s="2" t="inlineStr">
        <is>
          <t>CMP-053</t>
        </is>
      </c>
      <c r="B55" s="2" t="inlineStr">
        <is>
          <t>Hyundai؛ Kia</t>
        </is>
      </c>
      <c r="C55" s="2" t="inlineStr">
        <is>
          <t>طرح فروش (فعالیت فروش؛ مرز با کمپین)</t>
        </is>
      </c>
      <c r="D55" s="2" t="inlineStr">
        <is>
          <t>طرح‌های فروش کیا و هیوندای هرمس خودرو (۱۴۰۵)</t>
        </is>
      </c>
      <c r="E55" s="2" t="inlineStr">
        <is>
          <t>نامشخص</t>
        </is>
      </c>
      <c r="F55" s="2" t="inlineStr">
        <is>
          <t>نامشخص</t>
        </is>
      </c>
      <c r="G55" s="2" t="inlineStr">
        <is>
          <t>K4: قیمت قطعی، تحویل ۹۰ روزه؛ افزایش قیمت اردیبهشت</t>
        </is>
      </c>
      <c r="H55" s="2" t="inlineStr">
        <is>
          <t>نامشخص</t>
        </is>
      </c>
      <c r="I55" s="2" t="inlineStr">
        <is>
          <t>ثبت‌نام</t>
        </is>
      </c>
      <c r="J55" s="2" t="inlineStr">
        <is>
          <t>خرید</t>
        </is>
      </c>
      <c r="K55" s="2" t="inlineStr">
        <is>
          <t>دسترسی</t>
        </is>
      </c>
      <c r="L55" s="2" t="inlineStr">
        <is>
          <t>نامشخص</t>
        </is>
      </c>
      <c r="M55" s="2" t="inlineStr">
        <is>
          <t>شواهد ناکافی برای تحلیل خلاقه معتبر</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6"/>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30" customWidth="1" min="3" max="3"/>
    <col width="44" customWidth="1" min="4" max="4"/>
    <col width="40" customWidth="1" min="5" max="5"/>
    <col width="18" customWidth="1" min="6" max="6"/>
    <col width="10" customWidth="1" min="7" max="7"/>
  </cols>
  <sheetData>
    <row r="1" ht="36" customHeight="1">
      <c r="A1" s="1" t="inlineStr">
        <is>
          <t>Partner_ID</t>
        </is>
      </c>
      <c r="B1" s="1" t="inlineStr">
        <is>
          <t>نام</t>
        </is>
      </c>
      <c r="C1" s="1" t="inlineStr">
        <is>
          <t>نقش</t>
        </is>
      </c>
      <c r="D1" s="1" t="inlineStr">
        <is>
          <t>پروژه/کمپین</t>
        </is>
      </c>
      <c r="E1" s="1" t="inlineStr">
        <is>
          <t>Campaign_IDs</t>
        </is>
      </c>
      <c r="F1" s="1" t="inlineStr">
        <is>
          <t>Evidence_IDs</t>
        </is>
      </c>
      <c r="G1" s="1" t="inlineStr">
        <is>
          <t>اطمینان</t>
        </is>
      </c>
    </row>
    <row r="2">
      <c r="A2" s="2" t="inlineStr">
        <is>
          <t>AG-001</t>
        </is>
      </c>
      <c r="B2" s="2" t="inlineStr">
        <is>
          <t>ایده تجارت هرمس</t>
        </is>
      </c>
      <c r="C2" s="2" t="inlineStr">
        <is>
          <t>برگزارکننده نمایشگاه</t>
        </is>
      </c>
      <c r="D2" s="2" t="inlineStr">
        <is>
          <t>هفتمین نمایشگاه خودرو تهران (۲۲-۲۶ شهریور ۱۴۰۵)</t>
        </is>
      </c>
      <c r="E2" s="2" t="inlineStr">
        <is>
          <t>CMP-011;CMP-028;CMP-029;CMP-031;CMP-033;CMP-038;CMP-039;CMP-040;CMP-041;CMP-042;CMP-043;CMP-044</t>
        </is>
      </c>
      <c r="F2" s="2" t="inlineStr">
        <is>
          <t>EV-003;EV-004</t>
        </is>
      </c>
      <c r="G2" s="2" t="inlineStr">
        <is>
          <t>Medium</t>
        </is>
      </c>
    </row>
    <row r="3">
      <c r="A3" s="2" t="inlineStr">
        <is>
          <t>AG-002</t>
        </is>
      </c>
      <c r="B3" s="2" t="inlineStr">
        <is>
          <t>ایران‌مال</t>
        </is>
      </c>
      <c r="C3" s="2" t="inlineStr">
        <is>
          <t>محل برگزاری رویداد رونمایی</t>
        </is>
      </c>
      <c r="D3" s="2" t="inlineStr">
        <is>
          <t>رونمایی تیسان</t>
        </is>
      </c>
      <c r="E3" s="2" t="inlineStr">
        <is>
          <t>CMP-032</t>
        </is>
      </c>
      <c r="F3" s="2" t="inlineStr">
        <is>
          <t>EV-100</t>
        </is>
      </c>
      <c r="G3" s="2" t="inlineStr">
        <is>
          <t>Medium</t>
        </is>
      </c>
    </row>
    <row r="4">
      <c r="A4" s="2" t="inlineStr">
        <is>
          <t>AG-003</t>
        </is>
      </c>
      <c r="B4" s="2" t="inlineStr">
        <is>
          <t>سیدجواد هاشمی، مجید واشقانی، جواد داوری</t>
        </is>
      </c>
      <c r="C4" s="2" t="inlineStr">
        <is>
          <t>چهره‌های حاضر در رونمایی (نوع قرارداد نامشخص)</t>
        </is>
      </c>
      <c r="D4" s="2" t="inlineStr">
        <is>
          <t>رونمایی تیسان</t>
        </is>
      </c>
      <c r="E4" s="2" t="inlineStr">
        <is>
          <t>CMP-032</t>
        </is>
      </c>
      <c r="F4" s="2" t="inlineStr">
        <is>
          <t>EV-100</t>
        </is>
      </c>
      <c r="G4" s="2" t="inlineStr">
        <is>
          <t>Low</t>
        </is>
      </c>
    </row>
    <row r="5">
      <c r="A5" s="2" t="inlineStr">
        <is>
          <t>AG-004</t>
        </is>
      </c>
      <c r="B5" s="2" t="inlineStr">
        <is>
          <t>اتونوین / سامانه یکپارچه واردات</t>
        </is>
      </c>
      <c r="C5" s="2" t="inlineStr">
        <is>
          <t>پلتفرم فروش (دولتی)</t>
        </is>
      </c>
      <c r="D5" s="2" t="inlineStr">
        <is>
          <t>عرضه وارداتی‌ها</t>
        </is>
      </c>
      <c r="E5" s="2" t="inlineStr">
        <is>
          <t>CMP-045;CMP-046</t>
        </is>
      </c>
      <c r="F5" s="2" t="inlineStr">
        <is>
          <t>EV-070;EV-074</t>
        </is>
      </c>
      <c r="G5" s="2" t="inlineStr">
        <is>
          <t>Medium</t>
        </is>
      </c>
    </row>
    <row r="6">
      <c r="A6" s="2" t="inlineStr">
        <is>
          <t>AG-005</t>
        </is>
      </c>
      <c r="B6" s="2" t="inlineStr">
        <is>
          <t>آژانس تبلیغاتی خلاقه/رسانه‌ای خودروسازان</t>
        </is>
      </c>
      <c r="C6" s="2" t="inlineStr">
        <is>
          <t>نامشخص</t>
        </is>
      </c>
      <c r="D6" s="2" t="inlineStr">
        <is>
          <t>برای هیچ‌یک از کمپین‌های خودروسازان، آژانس یا مجری خلاقه در منابع قابل دسترس شناسایی نشد</t>
        </is>
      </c>
      <c r="E6" s="2" t="inlineStr">
        <is>
          <t>—</t>
        </is>
      </c>
      <c r="F6" s="2" t="inlineStr">
        <is>
          <t>—</t>
        </is>
      </c>
      <c r="G6" s="2" t="inlineStr">
        <is>
          <t>—</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J48"/>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16" customWidth="1" min="3" max="3"/>
    <col width="30" customWidth="1" min="4" max="4"/>
    <col width="12" customWidth="1" min="5" max="5"/>
    <col width="12" customWidth="1" min="6" max="6"/>
    <col width="30" customWidth="1" min="7" max="7"/>
    <col width="12" customWidth="1" min="8" max="8"/>
    <col width="34" customWidth="1" min="9" max="9"/>
    <col width="50" customWidth="1" min="10" max="10"/>
  </cols>
  <sheetData>
    <row r="1" ht="36" customHeight="1">
      <c r="A1" s="1" t="inlineStr">
        <is>
          <t>Brand_ID</t>
        </is>
      </c>
      <c r="B1" s="1" t="inlineStr">
        <is>
          <t>برند</t>
        </is>
      </c>
      <c r="C1" s="1" t="inlineStr">
        <is>
          <t>دسته</t>
        </is>
      </c>
      <c r="D1" s="1" t="inlineStr">
        <is>
          <t>وضعیت تحقیق</t>
        </is>
      </c>
      <c r="E1" s="1" t="inlineStr">
        <is>
          <t>تعداد جست‌وجوی اختصاصی</t>
        </is>
      </c>
      <c r="F1" s="1" t="inlineStr">
        <is>
          <t>تعداد منابع مرتبط ثبت‌شده</t>
        </is>
      </c>
      <c r="G1" s="1" t="inlineStr">
        <is>
          <t>کانال‌های بررسی‌شده</t>
        </is>
      </c>
      <c r="H1" s="1" t="inlineStr">
        <is>
          <t>آخرین تاریخ بررسی</t>
        </is>
      </c>
      <c r="I1" s="1" t="inlineStr">
        <is>
          <t>محدودیت‌ها</t>
        </is>
      </c>
      <c r="J1" s="1" t="inlineStr">
        <is>
          <t>شکاف‌های تحقیق</t>
        </is>
      </c>
    </row>
    <row r="2">
      <c r="A2" s="2" t="inlineStr">
        <is>
          <t>BR-001</t>
        </is>
      </c>
      <c r="B2" s="2" t="inlineStr">
        <is>
          <t>ایران خودرو (IKCO) — تارا، ری‌را، دنا، سورن، پژو ۲۰۷</t>
        </is>
      </c>
      <c r="C2" s="2" t="inlineStr">
        <is>
          <t>A — خودروساز داخلی</t>
        </is>
      </c>
      <c r="D2" s="2" t="inlineStr">
        <is>
          <t>بررسی انجام شده؛ کمپین پیدا شد</t>
        </is>
      </c>
      <c r="E2" s="2" t="n">
        <v>10</v>
      </c>
      <c r="F2" s="2" t="n">
        <v>13</v>
      </c>
      <c r="G2" s="2" t="inlineStr">
        <is>
          <t>جست‌وجوی وب (فارسی/انگلیسی) — رسانه‌های خبری و تخصصی</t>
        </is>
      </c>
      <c r="H2" s="3" t="n">
        <v>46305</v>
      </c>
      <c r="I2" s="2" t="inlineStr">
        <is>
          <t>صفحات منبع مستقیم باز نشدند؛ فقط خلاصه نتایج موتور جست‌وجو</t>
        </is>
      </c>
      <c r="J2" s="2" t="inlineStr">
        <is>
          <t>وب‌سایت رسمی، اینستاگرام/تلگرام/آپارات و کتابخانه‌های تبلیغاتی بررسی نشدند (عدم دسترسی)؛ شواهد خلاقه (تصویر/ویدئو) و آژانس یافت نشد</t>
        </is>
      </c>
    </row>
    <row r="3">
      <c r="A3" s="2" t="inlineStr">
        <is>
          <t>BR-002</t>
        </is>
      </c>
      <c r="B3" s="2" t="inlineStr">
        <is>
          <t>ایکو پرمیوم / سفیر (زیربرند ایران خودرو)</t>
        </is>
      </c>
      <c r="C3" s="2" t="inlineStr">
        <is>
          <t>A — خودروساز داخلی</t>
        </is>
      </c>
      <c r="D3" s="2" t="inlineStr">
        <is>
          <t>بررسی انجام شده؛ کمپین پیدا شد</t>
        </is>
      </c>
      <c r="E3" s="2" t="n">
        <v>4</v>
      </c>
      <c r="F3" s="2" t="n">
        <v>6</v>
      </c>
      <c r="G3" s="2" t="inlineStr">
        <is>
          <t>جست‌وجوی وب (فارسی/انگلیسی) — رسانه‌های خبری و تخصصی</t>
        </is>
      </c>
      <c r="H3" s="3" t="n">
        <v>46305</v>
      </c>
      <c r="I3" s="2" t="inlineStr">
        <is>
          <t>صفحات منبع مستقیم باز نشدند؛ فقط خلاصه نتایج موتور جست‌وجو</t>
        </is>
      </c>
      <c r="J3" s="2" t="inlineStr">
        <is>
          <t>وب‌سایت رسمی، اینستاگرام/تلگرام/آپارات و کتابخانه‌های تبلیغاتی بررسی نشدند (عدم دسترسی)؛ شواهد خلاقه (تصویر/ویدئو) و آژانس یافت نشد</t>
        </is>
      </c>
    </row>
    <row r="4">
      <c r="A4" s="2" t="inlineStr">
        <is>
          <t>BR-003</t>
        </is>
      </c>
      <c r="B4" s="2" t="inlineStr">
        <is>
          <t>سایپا — شاهین، آریا، اطلس، ساینا، کوییک، ۱۵۱</t>
        </is>
      </c>
      <c r="C4" s="2" t="inlineStr">
        <is>
          <t>A — خودروساز داخلی</t>
        </is>
      </c>
      <c r="D4" s="2" t="inlineStr">
        <is>
          <t>بررسی انجام شده؛ کمپین پیدا شد</t>
        </is>
      </c>
      <c r="E4" s="2" t="n">
        <v>9</v>
      </c>
      <c r="F4" s="2" t="n">
        <v>15</v>
      </c>
      <c r="G4" s="2" t="inlineStr">
        <is>
          <t>جست‌وجوی وب (فارسی/انگلیسی) — رسانه‌های خبری و تخصصی</t>
        </is>
      </c>
      <c r="H4" s="3" t="n">
        <v>46305</v>
      </c>
      <c r="I4" s="2" t="inlineStr">
        <is>
          <t>صفحات منبع مستقیم باز نشدند؛ فقط خلاصه نتایج موتور جست‌وجو</t>
        </is>
      </c>
      <c r="J4" s="2" t="inlineStr">
        <is>
          <t>وب‌سایت رسمی، اینستاگرام/تلگرام/آپارات و کتابخانه‌های تبلیغاتی بررسی نشدند (عدم دسترسی)؛ شواهد خلاقه (تصویر/ویدئو) و آژانس یافت نشد</t>
        </is>
      </c>
    </row>
    <row r="5">
      <c r="A5" s="2" t="inlineStr">
        <is>
          <t>BR-004</t>
        </is>
      </c>
      <c r="B5" s="2" t="inlineStr">
        <is>
          <t>پارس خودرو (گروه سایپا)</t>
        </is>
      </c>
      <c r="C5" s="2" t="inlineStr">
        <is>
          <t>A — خودروساز داخلی</t>
        </is>
      </c>
      <c r="D5" s="2" t="inlineStr">
        <is>
          <t>بررسی انجام شده؛ کمپین تأییدشده پیدا نشد</t>
        </is>
      </c>
      <c r="E5" s="2" t="n">
        <v>4</v>
      </c>
      <c r="F5" s="2" t="n">
        <v>1</v>
      </c>
      <c r="G5" s="2" t="inlineStr">
        <is>
          <t>جست‌وجوی وب (فارسی/انگلیسی) — رسانه‌های خبری و تخصصی</t>
        </is>
      </c>
      <c r="H5" s="3" t="n">
        <v>46305</v>
      </c>
      <c r="I5" s="2" t="inlineStr">
        <is>
          <t>صفحات منبع مستقیم باز نشدند؛ فقط خلاصه نتایج موتور جست‌وجو</t>
        </is>
      </c>
      <c r="J5" s="2" t="inlineStr">
        <is>
          <t>وب‌سایت رسمی، اینستاگرام/تلگرام/آپارات و کتابخانه‌های تبلیغاتی بررسی نشدند (عدم دسترسی)؛ شواهد خلاقه (تصویر/ویدئو) و آژانس یافت نشد</t>
        </is>
      </c>
    </row>
    <row r="6">
      <c r="A6" s="2" t="inlineStr">
        <is>
          <t>BR-005</t>
        </is>
      </c>
      <c r="B6" s="2" t="inlineStr">
        <is>
          <t>زامیاد / سایپا دیزل / ایران خودرو دیزل (تجاری)</t>
        </is>
      </c>
      <c r="C6" s="2" t="inlineStr">
        <is>
          <t>A — خودروساز داخلی</t>
        </is>
      </c>
      <c r="D6" s="2" t="inlineStr">
        <is>
          <t>بررسی ناقص به دلیل محدودیت منابع</t>
        </is>
      </c>
      <c r="E6" s="2" t="n">
        <v>3</v>
      </c>
      <c r="F6" s="2" t="n">
        <v>2</v>
      </c>
      <c r="G6" s="2" t="inlineStr">
        <is>
          <t>جست‌وجوی وب (فارسی/انگلیسی) — رسانه‌های خبری و تخصصی</t>
        </is>
      </c>
      <c r="H6" s="3" t="n">
        <v>46305</v>
      </c>
      <c r="I6" s="2" t="inlineStr">
        <is>
          <t>صفحات منبع مستقیم باز نشدند؛ فقط خلاصه نتایج موتور جست‌وجو</t>
        </is>
      </c>
      <c r="J6" s="2" t="inlineStr">
        <is>
          <t>وب‌سایت رسمی، اینستاگرام/تلگرام/آپارات و کتابخانه‌های تبلیغاتی بررسی نشدند (عدم دسترسی)؛ شواهد خلاقه (تصویر/ویدئو) و آژانس یافت نشد</t>
        </is>
      </c>
    </row>
    <row r="7">
      <c r="A7" s="2" t="inlineStr">
        <is>
          <t>BR-006</t>
        </is>
      </c>
      <c r="B7" s="2" t="inlineStr">
        <is>
          <t>MVM</t>
        </is>
      </c>
      <c r="C7" s="2" t="inlineStr">
        <is>
          <t>B — مونتاژی</t>
        </is>
      </c>
      <c r="D7" s="2" t="inlineStr">
        <is>
          <t>بررسی انجام شده؛ کمپین تأییدشده پیدا نشد (فقط طرح فروش)</t>
        </is>
      </c>
      <c r="E7" s="2" t="n">
        <v>4</v>
      </c>
      <c r="F7" s="2" t="n">
        <v>4</v>
      </c>
      <c r="G7" s="2" t="inlineStr">
        <is>
          <t>جست‌وجوی وب (فارسی/انگلیسی) — رسانه‌های خبری و تخصصی</t>
        </is>
      </c>
      <c r="H7" s="3" t="n">
        <v>46305</v>
      </c>
      <c r="I7" s="2" t="inlineStr">
        <is>
          <t>صفحات منبع مستقیم باز نشدند؛ فقط خلاصه نتایج موتور جست‌وجو</t>
        </is>
      </c>
      <c r="J7" s="2" t="inlineStr">
        <is>
          <t>وب‌سایت رسمی، اینستاگرام/تلگرام/آپارات و کتابخانه‌های تبلیغاتی بررسی نشدند (عدم دسترسی)؛ شواهد خلاقه (تصویر/ویدئو) و آژانس یافت نشد</t>
        </is>
      </c>
    </row>
    <row r="8">
      <c r="A8" s="2" t="inlineStr">
        <is>
          <t>BR-007</t>
        </is>
      </c>
      <c r="B8" s="2" t="inlineStr">
        <is>
          <t>FOWNIX / Fownix NEV</t>
        </is>
      </c>
      <c r="C8" s="2" t="inlineStr">
        <is>
          <t>B — مونتاژی</t>
        </is>
      </c>
      <c r="D8" s="2" t="inlineStr">
        <is>
          <t>بررسی انجام شده؛ کمپین پیدا شد</t>
        </is>
      </c>
      <c r="E8" s="2" t="n">
        <v>5</v>
      </c>
      <c r="F8" s="2" t="n">
        <v>5</v>
      </c>
      <c r="G8" s="2" t="inlineStr">
        <is>
          <t>جست‌وجوی وب (فارسی/انگلیسی) — رسانه‌های خبری و تخصصی</t>
        </is>
      </c>
      <c r="H8" s="3" t="n">
        <v>46305</v>
      </c>
      <c r="I8" s="2" t="inlineStr">
        <is>
          <t>صفحات منبع مستقیم باز نشدند؛ فقط خلاصه نتایج موتور جست‌وجو</t>
        </is>
      </c>
      <c r="J8" s="2" t="inlineStr">
        <is>
          <t>وب‌سایت رسمی، اینستاگرام/تلگرام/آپارات و کتابخانه‌های تبلیغاتی بررسی نشدند (عدم دسترسی)؛ شواهد خلاقه (تصویر/ویدئو) و آژانس یافت نشد</t>
        </is>
      </c>
    </row>
    <row r="9">
      <c r="A9" s="2" t="inlineStr">
        <is>
          <t>BR-008</t>
        </is>
      </c>
      <c r="B9" s="2" t="inlineStr">
        <is>
          <t>XTRIM (EXEED)</t>
        </is>
      </c>
      <c r="C9" s="2" t="inlineStr">
        <is>
          <t>B — مونتاژی</t>
        </is>
      </c>
      <c r="D9" s="2" t="inlineStr">
        <is>
          <t>بررسی ناقص به دلیل محدودیت منابع</t>
        </is>
      </c>
      <c r="E9" s="2" t="n">
        <v>2</v>
      </c>
      <c r="F9" s="2" t="n">
        <v>4</v>
      </c>
      <c r="G9" s="2" t="inlineStr">
        <is>
          <t>جست‌وجوی وب (فارسی/انگلیسی) — رسانه‌های خبری و تخصصی</t>
        </is>
      </c>
      <c r="H9" s="3" t="n">
        <v>46305</v>
      </c>
      <c r="I9" s="2" t="inlineStr">
        <is>
          <t>صفحات منبع مستقیم باز نشدند؛ فقط خلاصه نتایج موتور جست‌وجو</t>
        </is>
      </c>
      <c r="J9" s="2" t="inlineStr">
        <is>
          <t>وب‌سایت رسمی، اینستاگرام/تلگرام/آپارات و کتابخانه‌های تبلیغاتی بررسی نشدند (عدم دسترسی)؛ شواهد خلاقه (تصویر/ویدئو) و آژانس یافت نشد</t>
        </is>
      </c>
    </row>
    <row r="10">
      <c r="A10" s="2" t="inlineStr">
        <is>
          <t>BR-009</t>
        </is>
      </c>
      <c r="B10" s="2" t="inlineStr">
        <is>
          <t>KMC</t>
        </is>
      </c>
      <c r="C10" s="2" t="inlineStr">
        <is>
          <t>B — مونتاژی</t>
        </is>
      </c>
      <c r="D10" s="2" t="inlineStr">
        <is>
          <t>بررسی انجام شده؛ کمپین تأییدشده پیدا نشد (فقط طرح فروش)</t>
        </is>
      </c>
      <c r="E10" s="2" t="n">
        <v>3</v>
      </c>
      <c r="F10" s="2" t="n">
        <v>4</v>
      </c>
      <c r="G10" s="2" t="inlineStr">
        <is>
          <t>جست‌وجوی وب (فارسی/انگلیسی) — رسانه‌های خبری و تخصصی</t>
        </is>
      </c>
      <c r="H10" s="3" t="n">
        <v>46305</v>
      </c>
      <c r="I10" s="2" t="inlineStr">
        <is>
          <t>صفحات منبع مستقیم باز نشدند؛ فقط خلاصه نتایج موتور جست‌وجو</t>
        </is>
      </c>
      <c r="J10" s="2" t="inlineStr">
        <is>
          <t>وب‌سایت رسمی، اینستاگرام/تلگرام/آپارات و کتابخانه‌های تبلیغاتی بررسی نشدند (عدم دسترسی)؛ شواهد خلاقه (تصویر/ویدئو) و آژانس یافت نشد</t>
        </is>
      </c>
    </row>
    <row r="11">
      <c r="A11" s="2" t="inlineStr">
        <is>
          <t>BR-010</t>
        </is>
      </c>
      <c r="B11" s="2" t="inlineStr">
        <is>
          <t>JAC</t>
        </is>
      </c>
      <c r="C11" s="2" t="inlineStr">
        <is>
          <t>B — مونتاژی</t>
        </is>
      </c>
      <c r="D11" s="2" t="inlineStr">
        <is>
          <t>بررسی انجام شده؛ کمپین تأییدشده پیدا نشد</t>
        </is>
      </c>
      <c r="E11" s="2" t="n">
        <v>2</v>
      </c>
      <c r="F11" s="2" t="n">
        <v>3</v>
      </c>
      <c r="G11" s="2" t="inlineStr">
        <is>
          <t>جست‌وجوی وب (فارسی/انگلیسی) — رسانه‌های خبری و تخصصی</t>
        </is>
      </c>
      <c r="H11" s="3" t="n">
        <v>46305</v>
      </c>
      <c r="I11" s="2" t="inlineStr">
        <is>
          <t>صفحات منبع مستقیم باز نشدند؛ فقط خلاصه نتایج موتور جست‌وجو</t>
        </is>
      </c>
      <c r="J11" s="2" t="inlineStr">
        <is>
          <t>وب‌سایت رسمی، اینستاگرام/تلگرام/آپارات و کتابخانه‌های تبلیغاتی بررسی نشدند (عدم دسترسی)؛ شواهد خلاقه (تصویر/ویدئو) و آژانس یافت نشد</t>
        </is>
      </c>
    </row>
    <row r="12">
      <c r="A12" s="2" t="inlineStr">
        <is>
          <t>BR-011</t>
        </is>
      </c>
      <c r="B12" s="2" t="inlineStr">
        <is>
          <t>Hyundai</t>
        </is>
      </c>
      <c r="C12" s="2" t="inlineStr">
        <is>
          <t>C — وارداتی</t>
        </is>
      </c>
      <c r="D12" s="2" t="inlineStr">
        <is>
          <t>بررسی انجام شده؛ کمپین پیدا شد</t>
        </is>
      </c>
      <c r="E12" s="2" t="n">
        <v>5</v>
      </c>
      <c r="F12" s="2" t="n">
        <v>9</v>
      </c>
      <c r="G12" s="2" t="inlineStr">
        <is>
          <t>جست‌وجوی وب (فارسی/انگلیسی) — رسانه‌های خبری و تخصصی</t>
        </is>
      </c>
      <c r="H12" s="3" t="n">
        <v>46305</v>
      </c>
      <c r="I12" s="2" t="inlineStr">
        <is>
          <t>صفحات منبع مستقیم باز نشدند؛ فقط خلاصه نتایج موتور جست‌وجو</t>
        </is>
      </c>
      <c r="J12" s="2" t="inlineStr">
        <is>
          <t>وب‌سایت رسمی، اینستاگرام/تلگرام/آپارات و کتابخانه‌های تبلیغاتی بررسی نشدند (عدم دسترسی)؛ شواهد خلاقه (تصویر/ویدئو) و آژانس یافت نشد</t>
        </is>
      </c>
    </row>
    <row r="13">
      <c r="A13" s="2" t="inlineStr">
        <is>
          <t>BR-012</t>
        </is>
      </c>
      <c r="B13" s="2" t="inlineStr">
        <is>
          <t>Kia</t>
        </is>
      </c>
      <c r="C13" s="2" t="inlineStr">
        <is>
          <t>C — وارداتی</t>
        </is>
      </c>
      <c r="D13" s="2" t="inlineStr">
        <is>
          <t>بررسی انجام شده؛ کمپین پیدا شد</t>
        </is>
      </c>
      <c r="E13" s="2" t="n">
        <v>4</v>
      </c>
      <c r="F13" s="2" t="n">
        <v>10</v>
      </c>
      <c r="G13" s="2" t="inlineStr">
        <is>
          <t>جست‌وجوی وب (فارسی/انگلیسی) — رسانه‌های خبری و تخصصی</t>
        </is>
      </c>
      <c r="H13" s="3" t="n">
        <v>46305</v>
      </c>
      <c r="I13" s="2" t="inlineStr">
        <is>
          <t>صفحات منبع مستقیم باز نشدند؛ فقط خلاصه نتایج موتور جست‌وجو</t>
        </is>
      </c>
      <c r="J13" s="2" t="inlineStr">
        <is>
          <t>وب‌سایت رسمی، اینستاگرام/تلگرام/آپارات و کتابخانه‌های تبلیغاتی بررسی نشدند (عدم دسترسی)؛ شواهد خلاقه (تصویر/ویدئو) و آژانس یافت نشد</t>
        </is>
      </c>
    </row>
    <row r="14">
      <c r="A14" s="2" t="inlineStr">
        <is>
          <t>BR-013</t>
        </is>
      </c>
      <c r="B14" s="2" t="inlineStr">
        <is>
          <t>Fidelity / Dignity / Respect (برندهای گروه بهمن)</t>
        </is>
      </c>
      <c r="C14" s="2" t="inlineStr">
        <is>
          <t>B — مونتاژی</t>
        </is>
      </c>
      <c r="D14" s="2" t="inlineStr">
        <is>
          <t>بررسی انجام شده؛ کمپین پیدا شد</t>
        </is>
      </c>
      <c r="E14" s="2" t="n">
        <v>4</v>
      </c>
      <c r="F14" s="2" t="n">
        <v>8</v>
      </c>
      <c r="G14" s="2" t="inlineStr">
        <is>
          <t>جست‌وجوی وب (فارسی/انگلیسی) — رسانه‌های خبری و تخصصی</t>
        </is>
      </c>
      <c r="H14" s="3" t="n">
        <v>46305</v>
      </c>
      <c r="I14" s="2" t="inlineStr">
        <is>
          <t>صفحات منبع مستقیم باز نشدند؛ فقط خلاصه نتایج موتور جست‌وجو</t>
        </is>
      </c>
      <c r="J14" s="2" t="inlineStr">
        <is>
          <t>وب‌سایت رسمی، اینستاگرام/تلگرام/آپارات و کتابخانه‌های تبلیغاتی بررسی نشدند (عدم دسترسی)؛ شواهد خلاقه (تصویر/ویدئو) و آژانس یافت نشد</t>
        </is>
      </c>
    </row>
    <row r="15">
      <c r="A15" s="2" t="inlineStr">
        <is>
          <t>BR-014</t>
        </is>
      </c>
      <c r="B15" s="2" t="inlineStr">
        <is>
          <t>Bestune</t>
        </is>
      </c>
      <c r="C15" s="2" t="inlineStr">
        <is>
          <t>B — مونتاژی</t>
        </is>
      </c>
      <c r="D15" s="2" t="inlineStr">
        <is>
          <t>بررسی انجام شده؛ کمپین تأییدشده پیدا نشد</t>
        </is>
      </c>
      <c r="E15" s="2" t="n">
        <v>1</v>
      </c>
      <c r="F15" s="2" t="n">
        <v>0</v>
      </c>
      <c r="G15" s="2" t="inlineStr">
        <is>
          <t>جست‌وجوی وب (فارسی/انگلیسی) — رسانه‌های خبری و تخصصی</t>
        </is>
      </c>
      <c r="H15" s="3" t="n">
        <v>46305</v>
      </c>
      <c r="I15" s="2" t="inlineStr">
        <is>
          <t>صفحات منبع مستقیم باز نشدند؛ فقط خلاصه نتایج موتور جست‌وجو</t>
        </is>
      </c>
      <c r="J15" s="2" t="inlineStr">
        <is>
          <t>وب‌سایت رسمی، اینستاگرام/تلگرام/آپارات و کتابخانه‌های تبلیغاتی بررسی نشدند (عدم دسترسی)؛ شواهد خلاقه (تصویر/ویدئو) و آژانس یافت نشد</t>
        </is>
      </c>
    </row>
    <row r="16">
      <c r="A16" s="2" t="inlineStr">
        <is>
          <t>BR-015</t>
        </is>
      </c>
      <c r="B16" s="2" t="inlineStr">
        <is>
          <t>Haval / Shavaal</t>
        </is>
      </c>
      <c r="C16" s="2" t="inlineStr">
        <is>
          <t>B — مونتاژی</t>
        </is>
      </c>
      <c r="D16" s="2" t="inlineStr">
        <is>
          <t>بررسی انجام شده؛ کمپین پیدا شد</t>
        </is>
      </c>
      <c r="E16" s="2" t="n">
        <v>2</v>
      </c>
      <c r="F16" s="2" t="n">
        <v>5</v>
      </c>
      <c r="G16" s="2" t="inlineStr">
        <is>
          <t>جست‌وجوی وب (فارسی/انگلیسی) — رسانه‌های خبری و تخصصی</t>
        </is>
      </c>
      <c r="H16" s="3" t="n">
        <v>46305</v>
      </c>
      <c r="I16" s="2" t="inlineStr">
        <is>
          <t>صفحات منبع مستقیم باز نشدند؛ فقط خلاصه نتایج موتور جست‌وجو</t>
        </is>
      </c>
      <c r="J16" s="2" t="inlineStr">
        <is>
          <t>وب‌سایت رسمی، اینستاگرام/تلگرام/آپارات و کتابخانه‌های تبلیغاتی بررسی نشدند (عدم دسترسی)؛ شواهد خلاقه (تصویر/ویدئو) و آژانس یافت نشد</t>
        </is>
      </c>
    </row>
    <row r="17">
      <c r="A17" s="2" t="inlineStr">
        <is>
          <t>BR-016</t>
        </is>
      </c>
      <c r="B17" s="2" t="inlineStr">
        <is>
          <t>Renault</t>
        </is>
      </c>
      <c r="C17" s="2" t="inlineStr">
        <is>
          <t>C — وارداتی</t>
        </is>
      </c>
      <c r="D17" s="2" t="inlineStr">
        <is>
          <t>بررسی انجام شده؛ کمپین پیدا شد</t>
        </is>
      </c>
      <c r="E17" s="2" t="n">
        <v>2</v>
      </c>
      <c r="F17" s="2" t="n">
        <v>4</v>
      </c>
      <c r="G17" s="2" t="inlineStr">
        <is>
          <t>جست‌وجوی وب (فارسی/انگلیسی) — رسانه‌های خبری و تخصصی</t>
        </is>
      </c>
      <c r="H17" s="3" t="n">
        <v>46305</v>
      </c>
      <c r="I17" s="2" t="inlineStr">
        <is>
          <t>صفحات منبع مستقیم باز نشدند؛ فقط خلاصه نتایج موتور جست‌وجو</t>
        </is>
      </c>
      <c r="J17" s="2" t="inlineStr">
        <is>
          <t>وب‌سایت رسمی، اینستاگرام/تلگرام/آپارات و کتابخانه‌های تبلیغاتی بررسی نشدند (عدم دسترسی)؛ شواهد خلاقه (تصویر/ویدئو) و آژانس یافت نشد</t>
        </is>
      </c>
    </row>
    <row r="18">
      <c r="A18" s="2" t="inlineStr">
        <is>
          <t>BR-017</t>
        </is>
      </c>
      <c r="B18" s="2" t="inlineStr">
        <is>
          <t>ERES (SERES) / AITO</t>
        </is>
      </c>
      <c r="C18" s="2" t="inlineStr">
        <is>
          <t>B — مونتاژی</t>
        </is>
      </c>
      <c r="D18" s="2" t="inlineStr">
        <is>
          <t>بررسی انجام شده؛ کمپین پیدا شد</t>
        </is>
      </c>
      <c r="E18" s="2" t="n">
        <v>3</v>
      </c>
      <c r="F18" s="2" t="n">
        <v>2</v>
      </c>
      <c r="G18" s="2" t="inlineStr">
        <is>
          <t>جست‌وجوی وب (فارسی/انگلیسی) — رسانه‌های خبری و تخصصی</t>
        </is>
      </c>
      <c r="H18" s="3" t="n">
        <v>46305</v>
      </c>
      <c r="I18" s="2" t="inlineStr">
        <is>
          <t>صفحات منبع مستقیم باز نشدند؛ فقط خلاصه نتایج موتور جست‌وجو</t>
        </is>
      </c>
      <c r="J18" s="2" t="inlineStr">
        <is>
          <t>وب‌سایت رسمی، اینستاگرام/تلگرام/آپارات و کتابخانه‌های تبلیغاتی بررسی نشدند (عدم دسترسی)؛ شواهد خلاقه (تصویر/ویدئو) و آژانس یافت نشد</t>
        </is>
      </c>
    </row>
    <row r="19">
      <c r="A19" s="2" t="inlineStr">
        <is>
          <t>BR-018</t>
        </is>
      </c>
      <c r="B19" s="2" t="inlineStr">
        <is>
          <t>Lukano (مکث موتور)</t>
        </is>
      </c>
      <c r="C19" s="2" t="inlineStr">
        <is>
          <t>B — مونتاژی</t>
        </is>
      </c>
      <c r="D19" s="2" t="inlineStr">
        <is>
          <t>بررسی انجام شده؛ کمپین پیدا شد</t>
        </is>
      </c>
      <c r="E19" s="2" t="n">
        <v>1</v>
      </c>
      <c r="F19" s="2" t="n">
        <v>1</v>
      </c>
      <c r="G19" s="2" t="inlineStr">
        <is>
          <t>جست‌وجوی وب (فارسی/انگلیسی) — رسانه‌های خبری و تخصصی</t>
        </is>
      </c>
      <c r="H19" s="3" t="n">
        <v>46305</v>
      </c>
      <c r="I19" s="2" t="inlineStr">
        <is>
          <t>صفحات منبع مستقیم باز نشدند؛ فقط خلاصه نتایج موتور جست‌وجو</t>
        </is>
      </c>
      <c r="J19" s="2" t="inlineStr">
        <is>
          <t>وب‌سایت رسمی، اینستاگرام/تلگرام/آپارات و کتابخانه‌های تبلیغاتی بررسی نشدند (عدم دسترسی)؛ شواهد خلاقه (تصویر/ویدئو) و آژانس یافت نشد</t>
        </is>
      </c>
    </row>
    <row r="20">
      <c r="A20" s="2" t="inlineStr">
        <is>
          <t>BR-019</t>
        </is>
      </c>
      <c r="B20" s="2" t="inlineStr">
        <is>
          <t>Lamari</t>
        </is>
      </c>
      <c r="C20" s="2" t="inlineStr">
        <is>
          <t>B — مونتاژی</t>
        </is>
      </c>
      <c r="D20" s="2" t="inlineStr">
        <is>
          <t>بررسی انجام شده؛ کمپین پیدا شد</t>
        </is>
      </c>
      <c r="E20" s="2" t="n">
        <v>2</v>
      </c>
      <c r="F20" s="2" t="n">
        <v>2</v>
      </c>
      <c r="G20" s="2" t="inlineStr">
        <is>
          <t>جست‌وجوی وب (فارسی/انگلیسی) — رسانه‌های خبری و تخصصی</t>
        </is>
      </c>
      <c r="H20" s="3" t="n">
        <v>46305</v>
      </c>
      <c r="I20" s="2" t="inlineStr">
        <is>
          <t>صفحات منبع مستقیم باز نشدند؛ فقط خلاصه نتایج موتور جست‌وجو</t>
        </is>
      </c>
      <c r="J20" s="2" t="inlineStr">
        <is>
          <t>وب‌سایت رسمی، اینستاگرام/تلگرام/آپارات و کتابخانه‌های تبلیغاتی بررسی نشدند (عدم دسترسی)؛ شواهد خلاقه (تصویر/ویدئو) و آژانس یافت نشد</t>
        </is>
      </c>
    </row>
    <row r="21">
      <c r="A21" s="2" t="inlineStr">
        <is>
          <t>BR-020</t>
        </is>
      </c>
      <c r="B21" s="2" t="inlineStr">
        <is>
          <t>Changan</t>
        </is>
      </c>
      <c r="C21" s="2" t="inlineStr">
        <is>
          <t>B — مونتاژی</t>
        </is>
      </c>
      <c r="D21" s="2" t="inlineStr">
        <is>
          <t>بررسی انجام شده؛ کمپین تأییدشده پیدا نشد (فقط طرح فروش)</t>
        </is>
      </c>
      <c r="E21" s="2" t="n">
        <v>1</v>
      </c>
      <c r="F21" s="2" t="n">
        <v>3</v>
      </c>
      <c r="G21" s="2" t="inlineStr">
        <is>
          <t>جست‌وجوی وب (فارسی/انگلیسی) — رسانه‌های خبری و تخصصی</t>
        </is>
      </c>
      <c r="H21" s="3" t="n">
        <v>46305</v>
      </c>
      <c r="I21" s="2" t="inlineStr">
        <is>
          <t>صفحات منبع مستقیم باز نشدند؛ فقط خلاصه نتایج موتور جست‌وجو</t>
        </is>
      </c>
      <c r="J21" s="2" t="inlineStr">
        <is>
          <t>وب‌سایت رسمی، اینستاگرام/تلگرام/آپارات و کتابخانه‌های تبلیغاتی بررسی نشدند (عدم دسترسی)؛ شواهد خلاقه (تصویر/ویدئو) و آژانس یافت نشد</t>
        </is>
      </c>
    </row>
    <row r="22">
      <c r="A22" s="2" t="inlineStr">
        <is>
          <t>BR-021</t>
        </is>
      </c>
      <c r="B22" s="2" t="inlineStr">
        <is>
          <t>Tisan (ری‌بج Jetour)</t>
        </is>
      </c>
      <c r="C22" s="2" t="inlineStr">
        <is>
          <t>B — مونتاژی</t>
        </is>
      </c>
      <c r="D22" s="2" t="inlineStr">
        <is>
          <t>بررسی انجام شده؛ کمپین پیدا شد</t>
        </is>
      </c>
      <c r="E22" s="2" t="n">
        <v>4</v>
      </c>
      <c r="F22" s="2" t="n">
        <v>10</v>
      </c>
      <c r="G22" s="2" t="inlineStr">
        <is>
          <t>جست‌وجوی وب (فارسی/انگلیسی) — رسانه‌های خبری و تخصصی</t>
        </is>
      </c>
      <c r="H22" s="3" t="n">
        <v>46305</v>
      </c>
      <c r="I22" s="2" t="inlineStr">
        <is>
          <t>صفحات منبع مستقیم باز نشدند؛ فقط خلاصه نتایج موتور جست‌وجو</t>
        </is>
      </c>
      <c r="J22" s="2" t="inlineStr">
        <is>
          <t>وب‌سایت رسمی، اینستاگرام/تلگرام/آپارات و کتابخانه‌های تبلیغاتی بررسی نشدند (عدم دسترسی)؛ شواهد خلاقه (تصویر/ویدئو) و آژانس یافت نشد</t>
        </is>
      </c>
    </row>
    <row r="23">
      <c r="A23" s="2" t="inlineStr">
        <is>
          <t>BR-022</t>
        </is>
      </c>
      <c r="B23" s="2" t="inlineStr">
        <is>
          <t>BYD</t>
        </is>
      </c>
      <c r="C23" s="2" t="inlineStr">
        <is>
          <t>C — وارداتی</t>
        </is>
      </c>
      <c r="D23" s="2" t="inlineStr">
        <is>
          <t>بررسی انجام شده؛ کمپین تأییدشده پیدا نشد (فقط طرح فروش)</t>
        </is>
      </c>
      <c r="E23" s="2" t="n">
        <v>1</v>
      </c>
      <c r="F23" s="2" t="n">
        <v>5</v>
      </c>
      <c r="G23" s="2" t="inlineStr">
        <is>
          <t>جست‌وجوی وب (فارسی/انگلیسی) — رسانه‌های خبری و تخصصی</t>
        </is>
      </c>
      <c r="H23" s="3" t="n">
        <v>46305</v>
      </c>
      <c r="I23" s="2" t="inlineStr">
        <is>
          <t>صفحات منبع مستقیم باز نشدند؛ فقط خلاصه نتایج موتور جست‌وجو</t>
        </is>
      </c>
      <c r="J23" s="2" t="inlineStr">
        <is>
          <t>وب‌سایت رسمی، اینستاگرام/تلگرام/آپارات و کتابخانه‌های تبلیغاتی بررسی نشدند (عدم دسترسی)؛ شواهد خلاقه (تصویر/ویدئو) و آژانس یافت نشد</t>
        </is>
      </c>
    </row>
    <row r="24">
      <c r="A24" s="2" t="inlineStr">
        <is>
          <t>BR-023</t>
        </is>
      </c>
      <c r="B24" s="2" t="inlineStr">
        <is>
          <t>Citroën</t>
        </is>
      </c>
      <c r="C24" s="2" t="inlineStr">
        <is>
          <t>B — مونتاژی</t>
        </is>
      </c>
      <c r="D24" s="2" t="inlineStr">
        <is>
          <t>بررسی انجام شده؛ کمپین تأییدشده پیدا نشد (فقط طرح فروش)</t>
        </is>
      </c>
      <c r="E24" s="2" t="n">
        <v>1</v>
      </c>
      <c r="F24" s="2" t="n">
        <v>1</v>
      </c>
      <c r="G24" s="2" t="inlineStr">
        <is>
          <t>جست‌وجوی وب (فارسی/انگلیسی) — رسانه‌های خبری و تخصصی</t>
        </is>
      </c>
      <c r="H24" s="3" t="n">
        <v>46305</v>
      </c>
      <c r="I24" s="2" t="inlineStr">
        <is>
          <t>صفحات منبع مستقیم باز نشدند؛ فقط خلاصه نتایج موتور جست‌وجو</t>
        </is>
      </c>
      <c r="J24" s="2" t="inlineStr">
        <is>
          <t>وب‌سایت رسمی، اینستاگرام/تلگرام/آپارات و کتابخانه‌های تبلیغاتی بررسی نشدند (عدم دسترسی)؛ شواهد خلاقه (تصویر/ویدئو) و آژانس یافت نشد</t>
        </is>
      </c>
    </row>
    <row r="25">
      <c r="A25" s="2" t="inlineStr">
        <is>
          <t>BR-024</t>
        </is>
      </c>
      <c r="B25" s="2" t="inlineStr">
        <is>
          <t>Dongfeng</t>
        </is>
      </c>
      <c r="C25" s="2" t="inlineStr">
        <is>
          <t>B — مونتاژی</t>
        </is>
      </c>
      <c r="D25" s="2" t="inlineStr">
        <is>
          <t>بررسی انجام شده؛ کمپین تأییدشده پیدا نشد</t>
        </is>
      </c>
      <c r="E25" s="2" t="n">
        <v>1</v>
      </c>
      <c r="F25" s="2" t="n">
        <v>1</v>
      </c>
      <c r="G25" s="2" t="inlineStr">
        <is>
          <t>جست‌وجوی وب (فارسی/انگلیسی) — رسانه‌های خبری و تخصصی</t>
        </is>
      </c>
      <c r="H25" s="3" t="n">
        <v>46305</v>
      </c>
      <c r="I25" s="2" t="inlineStr">
        <is>
          <t>صفحات منبع مستقیم باز نشدند؛ فقط خلاصه نتایج موتور جست‌وجو</t>
        </is>
      </c>
      <c r="J25" s="2" t="inlineStr">
        <is>
          <t>وب‌سایت رسمی، اینستاگرام/تلگرام/آپارات و کتابخانه‌های تبلیغاتی بررسی نشدند (عدم دسترسی)؛ شواهد خلاقه (تصویر/ویدئو) و آژانس یافت نشد</t>
        </is>
      </c>
    </row>
    <row r="26">
      <c r="A26" s="2" t="inlineStr">
        <is>
          <t>BR-025</t>
        </is>
      </c>
      <c r="B26" s="2" t="inlineStr">
        <is>
          <t>Toyota</t>
        </is>
      </c>
      <c r="C26" s="2" t="inlineStr">
        <is>
          <t>C — وارداتی</t>
        </is>
      </c>
      <c r="D26" s="2" t="inlineStr">
        <is>
          <t>بررسی انجام شده؛ کمپین تأییدشده پیدا نشد</t>
        </is>
      </c>
      <c r="E26" s="2" t="n">
        <v>2</v>
      </c>
      <c r="F26" s="2" t="n">
        <v>6</v>
      </c>
      <c r="G26" s="2" t="inlineStr">
        <is>
          <t>جست‌وجوی وب (فارسی/انگلیسی) — رسانه‌های خبری و تخصصی</t>
        </is>
      </c>
      <c r="H26" s="3" t="n">
        <v>46305</v>
      </c>
      <c r="I26" s="2" t="inlineStr">
        <is>
          <t>صفحات منبع مستقیم باز نشدند؛ فقط خلاصه نتایج موتور جست‌وجو</t>
        </is>
      </c>
      <c r="J26" s="2" t="inlineStr">
        <is>
          <t>وب‌سایت رسمی، اینستاگرام/تلگرام/آپارات و کتابخانه‌های تبلیغاتی بررسی نشدند (عدم دسترسی)؛ شواهد خلاقه (تصویر/ویدئو) و آژانس یافت نشد</t>
        </is>
      </c>
    </row>
    <row r="27">
      <c r="A27" s="2" t="inlineStr">
        <is>
          <t>BR-026</t>
        </is>
      </c>
      <c r="B27" s="2" t="inlineStr">
        <is>
          <t>Nissan</t>
        </is>
      </c>
      <c r="C27" s="2" t="inlineStr">
        <is>
          <t>C — وارداتی</t>
        </is>
      </c>
      <c r="D27" s="2" t="inlineStr">
        <is>
          <t>بررسی انجام شده؛ کمپین پیدا شد</t>
        </is>
      </c>
      <c r="E27" s="2" t="n">
        <v>2</v>
      </c>
      <c r="F27" s="2" t="n">
        <v>3</v>
      </c>
      <c r="G27" s="2" t="inlineStr">
        <is>
          <t>جست‌وجوی وب (فارسی/انگلیسی) — رسانه‌های خبری و تخصصی</t>
        </is>
      </c>
      <c r="H27" s="3" t="n">
        <v>46305</v>
      </c>
      <c r="I27" s="2" t="inlineStr">
        <is>
          <t>صفحات منبع مستقیم باز نشدند؛ فقط خلاصه نتایج موتور جست‌وجو</t>
        </is>
      </c>
      <c r="J27" s="2" t="inlineStr">
        <is>
          <t>وب‌سایت رسمی، اینستاگرام/تلگرام/آپارات و کتابخانه‌های تبلیغاتی بررسی نشدند (عدم دسترسی)؛ شواهد خلاقه (تصویر/ویدئو) و آژانس یافت نشد</t>
        </is>
      </c>
    </row>
    <row r="28">
      <c r="A28" s="2" t="inlineStr">
        <is>
          <t>BR-027</t>
        </is>
      </c>
      <c r="B28" s="2" t="inlineStr">
        <is>
          <t>Opel</t>
        </is>
      </c>
      <c r="C28" s="2" t="inlineStr">
        <is>
          <t>C — وارداتی</t>
        </is>
      </c>
      <c r="D28" s="2" t="inlineStr">
        <is>
          <t>بررسی انجام شده؛ کمپین پیدا شد</t>
        </is>
      </c>
      <c r="E28" s="2" t="n">
        <v>2</v>
      </c>
      <c r="F28" s="2" t="n">
        <v>4</v>
      </c>
      <c r="G28" s="2" t="inlineStr">
        <is>
          <t>جست‌وجوی وب (فارسی/انگلیسی) — رسانه‌های خبری و تخصصی</t>
        </is>
      </c>
      <c r="H28" s="3" t="n">
        <v>46305</v>
      </c>
      <c r="I28" s="2" t="inlineStr">
        <is>
          <t>صفحات منبع مستقیم باز نشدند؛ فقط خلاصه نتایج موتور جست‌وجو</t>
        </is>
      </c>
      <c r="J28" s="2" t="inlineStr">
        <is>
          <t>وب‌سایت رسمی، اینستاگرام/تلگرام/آپارات و کتابخانه‌های تبلیغاتی بررسی نشدند (عدم دسترسی)؛ شواهد خلاقه (تصویر/ویدئو) و آژانس یافت نشد</t>
        </is>
      </c>
    </row>
    <row r="29">
      <c r="A29" s="2" t="inlineStr">
        <is>
          <t>BR-028</t>
        </is>
      </c>
      <c r="B29" s="2" t="inlineStr">
        <is>
          <t>Mazda</t>
        </is>
      </c>
      <c r="C29" s="2" t="inlineStr">
        <is>
          <t>C — وارداتی</t>
        </is>
      </c>
      <c r="D29" s="2" t="inlineStr">
        <is>
          <t>بررسی انجام شده؛ کمپین پیدا شد</t>
        </is>
      </c>
      <c r="E29" s="2" t="n">
        <v>3</v>
      </c>
      <c r="F29" s="2" t="n">
        <v>3</v>
      </c>
      <c r="G29" s="2" t="inlineStr">
        <is>
          <t>جست‌وجوی وب (فارسی/انگلیسی) — رسانه‌های خبری و تخصصی</t>
        </is>
      </c>
      <c r="H29" s="3" t="n">
        <v>46305</v>
      </c>
      <c r="I29" s="2" t="inlineStr">
        <is>
          <t>صفحات منبع مستقیم باز نشدند؛ فقط خلاصه نتایج موتور جست‌وجو</t>
        </is>
      </c>
      <c r="J29" s="2" t="inlineStr">
        <is>
          <t>وب‌سایت رسمی، اینستاگرام/تلگرام/آپارات و کتابخانه‌های تبلیغاتی بررسی نشدند (عدم دسترسی)؛ شواهد خلاقه (تصویر/ویدئو) و آژانس یافت نشد</t>
        </is>
      </c>
    </row>
    <row r="30">
      <c r="A30" s="2" t="inlineStr">
        <is>
          <t>BR-029</t>
        </is>
      </c>
      <c r="B30" s="2" t="inlineStr">
        <is>
          <t>Volvo</t>
        </is>
      </c>
      <c r="C30" s="2" t="inlineStr">
        <is>
          <t>C — وارداتی</t>
        </is>
      </c>
      <c r="D30" s="2" t="inlineStr">
        <is>
          <t>بررسی انجام شده؛ کمپین پیدا شد</t>
        </is>
      </c>
      <c r="E30" s="2" t="n">
        <v>2</v>
      </c>
      <c r="F30" s="2" t="n">
        <v>2</v>
      </c>
      <c r="G30" s="2" t="inlineStr">
        <is>
          <t>جست‌وجوی وب (فارسی/انگلیسی) — رسانه‌های خبری و تخصصی</t>
        </is>
      </c>
      <c r="H30" s="3" t="n">
        <v>46305</v>
      </c>
      <c r="I30" s="2" t="inlineStr">
        <is>
          <t>صفحات منبع مستقیم باز نشدند؛ فقط خلاصه نتایج موتور جست‌وجو</t>
        </is>
      </c>
      <c r="J30" s="2" t="inlineStr">
        <is>
          <t>وب‌سایت رسمی، اینستاگرام/تلگرام/آپارات و کتابخانه‌های تبلیغاتی بررسی نشدند (عدم دسترسی)؛ شواهد خلاقه (تصویر/ویدئو) و آژانس یافت نشد</t>
        </is>
      </c>
    </row>
    <row r="31">
      <c r="A31" s="2" t="inlineStr">
        <is>
          <t>BR-030</t>
        </is>
      </c>
      <c r="B31" s="2" t="inlineStr">
        <is>
          <t>Audi</t>
        </is>
      </c>
      <c r="C31" s="2" t="inlineStr">
        <is>
          <t>C — وارداتی</t>
        </is>
      </c>
      <c r="D31" s="2" t="inlineStr">
        <is>
          <t>بررسی انجام شده؛ کمپین پیدا شد</t>
        </is>
      </c>
      <c r="E31" s="2" t="n">
        <v>1</v>
      </c>
      <c r="F31" s="2" t="n">
        <v>1</v>
      </c>
      <c r="G31" s="2" t="inlineStr">
        <is>
          <t>جست‌وجوی وب (فارسی/انگلیسی) — رسانه‌های خبری و تخصصی</t>
        </is>
      </c>
      <c r="H31" s="3" t="n">
        <v>46305</v>
      </c>
      <c r="I31" s="2" t="inlineStr">
        <is>
          <t>صفحات منبع مستقیم باز نشدند؛ فقط خلاصه نتایج موتور جست‌وجو</t>
        </is>
      </c>
      <c r="J31" s="2" t="inlineStr">
        <is>
          <t>وب‌سایت رسمی، اینستاگرام/تلگرام/آپارات و کتابخانه‌های تبلیغاتی بررسی نشدند (عدم دسترسی)؛ شواهد خلاقه (تصویر/ویدئو) و آژانس یافت نشد</t>
        </is>
      </c>
    </row>
    <row r="32">
      <c r="A32" s="2" t="inlineStr">
        <is>
          <t>BR-031</t>
        </is>
      </c>
      <c r="B32" s="2" t="inlineStr">
        <is>
          <t>Mercedes-Benz</t>
        </is>
      </c>
      <c r="C32" s="2" t="inlineStr">
        <is>
          <t>C — وارداتی</t>
        </is>
      </c>
      <c r="D32" s="2" t="inlineStr">
        <is>
          <t>بررسی انجام شده؛ کمپین پیدا شد</t>
        </is>
      </c>
      <c r="E32" s="2" t="n">
        <v>1</v>
      </c>
      <c r="F32" s="2" t="n">
        <v>4</v>
      </c>
      <c r="G32" s="2" t="inlineStr">
        <is>
          <t>جست‌وجوی وب (فارسی/انگلیسی) — رسانه‌های خبری و تخصصی</t>
        </is>
      </c>
      <c r="H32" s="3" t="n">
        <v>46305</v>
      </c>
      <c r="I32" s="2" t="inlineStr">
        <is>
          <t>صفحات منبع مستقیم باز نشدند؛ فقط خلاصه نتایج موتور جست‌وجو</t>
        </is>
      </c>
      <c r="J32" s="2" t="inlineStr">
        <is>
          <t>وب‌سایت رسمی، اینستاگرام/تلگرام/آپارات و کتابخانه‌های تبلیغاتی بررسی نشدند (عدم دسترسی)؛ شواهد خلاقه (تصویر/ویدئو) و آژانس یافت نشد</t>
        </is>
      </c>
    </row>
    <row r="33">
      <c r="A33" s="2" t="inlineStr">
        <is>
          <t>BR-032</t>
        </is>
      </c>
      <c r="B33" s="2" t="inlineStr">
        <is>
          <t>Leapmotor / Tank (GWM)</t>
        </is>
      </c>
      <c r="C33" s="2" t="inlineStr">
        <is>
          <t>C — وارداتی</t>
        </is>
      </c>
      <c r="D33" s="2" t="inlineStr">
        <is>
          <t>بررسی انجام شده؛ کمپین پیدا شد</t>
        </is>
      </c>
      <c r="E33" s="2" t="n">
        <v>1</v>
      </c>
      <c r="F33" s="2" t="n">
        <v>1</v>
      </c>
      <c r="G33" s="2" t="inlineStr">
        <is>
          <t>جست‌وجوی وب (فارسی/انگلیسی) — رسانه‌های خبری و تخصصی</t>
        </is>
      </c>
      <c r="H33" s="3" t="n">
        <v>46305</v>
      </c>
      <c r="I33" s="2" t="inlineStr">
        <is>
          <t>صفحات منبع مستقیم باز نشدند؛ فقط خلاصه نتایج موتور جست‌وجو</t>
        </is>
      </c>
      <c r="J33" s="2" t="inlineStr">
        <is>
          <t>وب‌سایت رسمی، اینستاگرام/تلگرام/آپارات و کتابخانه‌های تبلیغاتی بررسی نشدند (عدم دسترسی)؛ شواهد خلاقه (تصویر/ویدئو) و آژانس یافت نشد</t>
        </is>
      </c>
    </row>
    <row r="34">
      <c r="A34" s="2" t="inlineStr">
        <is>
          <t>BR-033</t>
        </is>
      </c>
      <c r="B34" s="2" t="inlineStr">
        <is>
          <t>Suzuki</t>
        </is>
      </c>
      <c r="C34" s="2" t="inlineStr">
        <is>
          <t>C — وارداتی</t>
        </is>
      </c>
      <c r="D34" s="2" t="inlineStr">
        <is>
          <t>بررسی انجام شده؛ کمپین تأییدشده پیدا نشد</t>
        </is>
      </c>
      <c r="E34" s="2" t="n">
        <v>1</v>
      </c>
      <c r="F34" s="2" t="n">
        <v>3</v>
      </c>
      <c r="G34" s="2" t="inlineStr">
        <is>
          <t>جست‌وجوی وب (فارسی/انگلیسی) — رسانه‌های خبری و تخصصی</t>
        </is>
      </c>
      <c r="H34" s="3" t="n">
        <v>46305</v>
      </c>
      <c r="I34" s="2" t="inlineStr">
        <is>
          <t>صفحات منبع مستقیم باز نشدند؛ فقط خلاصه نتایج موتور جست‌وجو</t>
        </is>
      </c>
      <c r="J34" s="2" t="inlineStr">
        <is>
          <t>وب‌سایت رسمی، اینستاگرام/تلگرام/آپارات و کتابخانه‌های تبلیغاتی بررسی نشدند (عدم دسترسی)؛ شواهد خلاقه (تصویر/ویدئو) و آژانس یافت نشد</t>
        </is>
      </c>
    </row>
    <row r="35">
      <c r="A35" s="2" t="inlineStr">
        <is>
          <t>BR-034</t>
        </is>
      </c>
      <c r="B35" s="2" t="inlineStr">
        <is>
          <t>Skywell</t>
        </is>
      </c>
      <c r="C35" s="2" t="inlineStr">
        <is>
          <t>C — وارداتی</t>
        </is>
      </c>
      <c r="D35" s="2" t="inlineStr">
        <is>
          <t>بررسی انجام شده؛ کمپین تأییدشده پیدا نشد</t>
        </is>
      </c>
      <c r="E35" s="2" t="n">
        <v>1</v>
      </c>
      <c r="F35" s="2" t="n">
        <v>3</v>
      </c>
      <c r="G35" s="2" t="inlineStr">
        <is>
          <t>جست‌وجوی وب (فارسی/انگلیسی) — رسانه‌های خبری و تخصصی</t>
        </is>
      </c>
      <c r="H35" s="3" t="n">
        <v>46305</v>
      </c>
      <c r="I35" s="2" t="inlineStr">
        <is>
          <t>صفحات منبع مستقیم باز نشدند؛ فقط خلاصه نتایج موتور جست‌وجو</t>
        </is>
      </c>
      <c r="J35" s="2" t="inlineStr">
        <is>
          <t>وب‌سایت رسمی، اینستاگرام/تلگرام/آپارات و کتابخانه‌های تبلیغاتی بررسی نشدند (عدم دسترسی)؛ شواهد خلاقه (تصویر/ویدئو) و آژانس یافت نشد</t>
        </is>
      </c>
    </row>
    <row r="36">
      <c r="A36" s="2" t="inlineStr">
        <is>
          <t>BR-035</t>
        </is>
      </c>
      <c r="B36" s="2" t="inlineStr">
        <is>
          <t>Skoda</t>
        </is>
      </c>
      <c r="C36" s="2" t="inlineStr">
        <is>
          <t>C — وارداتی</t>
        </is>
      </c>
      <c r="D36" s="2" t="inlineStr">
        <is>
          <t>بررسی انجام شده؛ کمپین تأییدشده پیدا نشد</t>
        </is>
      </c>
      <c r="E36" s="2" t="n">
        <v>1</v>
      </c>
      <c r="F36" s="2" t="n">
        <v>3</v>
      </c>
      <c r="G36" s="2" t="inlineStr">
        <is>
          <t>جست‌وجوی وب (فارسی/انگلیسی) — رسانه‌های خبری و تخصصی</t>
        </is>
      </c>
      <c r="H36" s="3" t="n">
        <v>46305</v>
      </c>
      <c r="I36" s="2" t="inlineStr">
        <is>
          <t>صفحات منبع مستقیم باز نشدند؛ فقط خلاصه نتایج موتور جست‌وجو</t>
        </is>
      </c>
      <c r="J36" s="2" t="inlineStr">
        <is>
          <t>وب‌سایت رسمی، اینستاگرام/تلگرام/آپارات و کتابخانه‌های تبلیغاتی بررسی نشدند (عدم دسترسی)؛ شواهد خلاقه (تصویر/ویدئو) و آژانس یافت نشد</t>
        </is>
      </c>
    </row>
    <row r="37">
      <c r="A37" s="2" t="inlineStr">
        <is>
          <t>BR-036</t>
        </is>
      </c>
      <c r="B37" s="2" t="inlineStr">
        <is>
          <t>Dacia</t>
        </is>
      </c>
      <c r="C37" s="2" t="inlineStr">
        <is>
          <t>C — وارداتی</t>
        </is>
      </c>
      <c r="D37" s="2" t="inlineStr">
        <is>
          <t>بررسی انجام شده؛ کمپین تأییدشده پیدا نشد</t>
        </is>
      </c>
      <c r="E37" s="2" t="n">
        <v>1</v>
      </c>
      <c r="F37" s="2" t="n">
        <v>3</v>
      </c>
      <c r="G37" s="2" t="inlineStr">
        <is>
          <t>جست‌وجوی وب (فارسی/انگلیسی) — رسانه‌های خبری و تخصصی</t>
        </is>
      </c>
      <c r="H37" s="3" t="n">
        <v>46305</v>
      </c>
      <c r="I37" s="2" t="inlineStr">
        <is>
          <t>صفحات منبع مستقیم باز نشدند؛ فقط خلاصه نتایج موتور جست‌وجو</t>
        </is>
      </c>
      <c r="J37" s="2" t="inlineStr">
        <is>
          <t>وب‌سایت رسمی، اینستاگرام/تلگرام/آپارات و کتابخانه‌های تبلیغاتی بررسی نشدند (عدم دسترسی)؛ شواهد خلاقه (تصویر/ویدئو) و آژانس یافت نشد</t>
        </is>
      </c>
    </row>
    <row r="38">
      <c r="A38" s="2" t="inlineStr">
        <is>
          <t>BR-037</t>
        </is>
      </c>
      <c r="B38" s="2" t="inlineStr">
        <is>
          <t>BMW</t>
        </is>
      </c>
      <c r="C38" s="2" t="inlineStr">
        <is>
          <t>C — وارداتی</t>
        </is>
      </c>
      <c r="D38" s="2" t="inlineStr">
        <is>
          <t>بررسی ناقص به دلیل محدودیت منابع</t>
        </is>
      </c>
      <c r="E38" s="2" t="n">
        <v>1</v>
      </c>
      <c r="F38" s="2" t="n">
        <v>1</v>
      </c>
      <c r="G38" s="2" t="inlineStr">
        <is>
          <t>جست‌وجوی وب (فارسی/انگلیسی) — رسانه‌های خبری و تخصصی</t>
        </is>
      </c>
      <c r="H38" s="3" t="n">
        <v>46305</v>
      </c>
      <c r="I38" s="2" t="inlineStr">
        <is>
          <t>صفحات منبع مستقیم باز نشدند؛ فقط خلاصه نتایج موتور جست‌وجو</t>
        </is>
      </c>
      <c r="J38" s="2" t="inlineStr">
        <is>
          <t>وب‌سایت رسمی، اینستاگرام/تلگرام/آپارات و کتابخانه‌های تبلیغاتی بررسی نشدند (عدم دسترسی)؛ شواهد خلاقه (تصویر/ویدئو) و آژانس یافت نشد</t>
        </is>
      </c>
    </row>
    <row r="39">
      <c r="A39" s="2" t="inlineStr">
        <is>
          <t>BR-038</t>
        </is>
      </c>
      <c r="B39" s="2" t="inlineStr">
        <is>
          <t>Geely / Lifan</t>
        </is>
      </c>
      <c r="C39" s="2" t="inlineStr">
        <is>
          <t>B — مونتاژی</t>
        </is>
      </c>
      <c r="D39" s="2" t="inlineStr">
        <is>
          <t>بررسی ناقص به دلیل محدودیت منابع</t>
        </is>
      </c>
      <c r="E39" s="2" t="n">
        <v>1</v>
      </c>
      <c r="F39" s="2" t="n">
        <v>1</v>
      </c>
      <c r="G39" s="2" t="inlineStr">
        <is>
          <t>جست‌وجوی وب (فارسی/انگلیسی) — رسانه‌های خبری و تخصصی</t>
        </is>
      </c>
      <c r="H39" s="3" t="n">
        <v>46305</v>
      </c>
      <c r="I39" s="2" t="inlineStr">
        <is>
          <t>صفحات منبع مستقیم باز نشدند؛ فقط خلاصه نتایج موتور جست‌وجو</t>
        </is>
      </c>
      <c r="J39" s="2" t="inlineStr">
        <is>
          <t>وب‌سایت رسمی، اینستاگرام/تلگرام/آپارات و کتابخانه‌های تبلیغاتی بررسی نشدند (عدم دسترسی)؛ شواهد خلاقه (تصویر/ویدئو) و آژانس یافت نشد</t>
        </is>
      </c>
    </row>
    <row r="40">
      <c r="A40" s="2" t="inlineStr">
        <is>
          <t>BR-039</t>
        </is>
      </c>
      <c r="B40" s="2" t="inlineStr">
        <is>
          <t>Hongqi</t>
        </is>
      </c>
      <c r="C40" s="2" t="inlineStr">
        <is>
          <t>C — وارداتی</t>
        </is>
      </c>
      <c r="D40" s="2" t="inlineStr">
        <is>
          <t>برند غیرفعال یا فاقد شواهد فعالیت در دوره</t>
        </is>
      </c>
      <c r="E40" s="2" t="n">
        <v>1</v>
      </c>
      <c r="F40" s="2" t="n">
        <v>1</v>
      </c>
      <c r="G40" s="2" t="inlineStr">
        <is>
          <t>جست‌وجوی وب (فارسی/انگلیسی) — رسانه‌های خبری و تخصصی</t>
        </is>
      </c>
      <c r="H40" s="3" t="n">
        <v>46305</v>
      </c>
      <c r="I40" s="2" t="inlineStr">
        <is>
          <t>صفحات منبع مستقیم باز نشدند؛ فقط خلاصه نتایج موتور جست‌وجو</t>
        </is>
      </c>
      <c r="J40" s="2" t="inlineStr">
        <is>
          <t>وب‌سایت رسمی، اینستاگرام/تلگرام/آپارات و کتابخانه‌های تبلیغاتی بررسی نشدند (عدم دسترسی)؛ شواهد خلاقه (تصویر/ویدئو) و آژانس یافت نشد</t>
        </is>
      </c>
    </row>
    <row r="41">
      <c r="A41" s="2" t="inlineStr">
        <is>
          <t>BR-040</t>
        </is>
      </c>
      <c r="B41" s="2" t="inlineStr">
        <is>
          <t>GAC</t>
        </is>
      </c>
      <c r="C41" s="2" t="inlineStr">
        <is>
          <t>C — وارداتی</t>
        </is>
      </c>
      <c r="D41" s="2" t="inlineStr">
        <is>
          <t>برند غیرفعال یا فاقد شواهد فعالیت در دوره</t>
        </is>
      </c>
      <c r="E41" s="2" t="n">
        <v>1</v>
      </c>
      <c r="F41" s="2" t="n">
        <v>1</v>
      </c>
      <c r="G41" s="2" t="inlineStr">
        <is>
          <t>جست‌وجوی وب (فارسی/انگلیسی) — رسانه‌های خبری و تخصصی</t>
        </is>
      </c>
      <c r="H41" s="3" t="n">
        <v>46305</v>
      </c>
      <c r="I41" s="2" t="inlineStr">
        <is>
          <t>صفحات منبع مستقیم باز نشدند؛ فقط خلاصه نتایج موتور جست‌وجو</t>
        </is>
      </c>
      <c r="J41" s="2" t="inlineStr">
        <is>
          <t>وب‌سایت رسمی، اینستاگرام/تلگرام/آپارات و کتابخانه‌های تبلیغاتی بررسی نشدند (عدم دسترسی)؛ شواهد خلاقه (تصویر/ویدئو) و آژانس یافت نشد</t>
        </is>
      </c>
    </row>
    <row r="42">
      <c r="A42" s="2" t="inlineStr">
        <is>
          <t>BR-041</t>
        </is>
      </c>
      <c r="B42" s="2" t="inlineStr">
        <is>
          <t>Volkswagen</t>
        </is>
      </c>
      <c r="C42" s="2" t="inlineStr">
        <is>
          <t>C — وارداتی</t>
        </is>
      </c>
      <c r="D42" s="2" t="inlineStr">
        <is>
          <t>بررسی‌نشده</t>
        </is>
      </c>
      <c r="E42" s="2" t="n">
        <v>0</v>
      </c>
      <c r="F42" s="2" t="n">
        <v>0</v>
      </c>
      <c r="G42" s="2" t="inlineStr">
        <is>
          <t>—</t>
        </is>
      </c>
      <c r="H42" s="2" t="inlineStr">
        <is>
          <t>نامشخص</t>
        </is>
      </c>
      <c r="I42" s="2" t="inlineStr">
        <is>
          <t>بررسی‌نشده</t>
        </is>
      </c>
      <c r="J42" s="2" t="inlineStr">
        <is>
          <t>هیچ جست‌وجوی اختصاصی انجام نشد</t>
        </is>
      </c>
    </row>
    <row r="43">
      <c r="A43" s="2" t="inlineStr">
        <is>
          <t>BR-042</t>
        </is>
      </c>
      <c r="B43" s="2" t="inlineStr">
        <is>
          <t>Honda</t>
        </is>
      </c>
      <c r="C43" s="2" t="inlineStr">
        <is>
          <t>C — وارداتی</t>
        </is>
      </c>
      <c r="D43" s="2" t="inlineStr">
        <is>
          <t>بررسی‌نشده</t>
        </is>
      </c>
      <c r="E43" s="2" t="n">
        <v>0</v>
      </c>
      <c r="F43" s="2" t="n">
        <v>0</v>
      </c>
      <c r="G43" s="2" t="inlineStr">
        <is>
          <t>—</t>
        </is>
      </c>
      <c r="H43" s="2" t="inlineStr">
        <is>
          <t>نامشخص</t>
        </is>
      </c>
      <c r="I43" s="2" t="inlineStr">
        <is>
          <t>بررسی‌نشده</t>
        </is>
      </c>
      <c r="J43" s="2" t="inlineStr">
        <is>
          <t>هیچ جست‌وجوی اختصاصی انجام نشد</t>
        </is>
      </c>
    </row>
    <row r="44">
      <c r="A44" s="2" t="inlineStr">
        <is>
          <t>BR-043</t>
        </is>
      </c>
      <c r="B44" s="2" t="inlineStr">
        <is>
          <t>MINI</t>
        </is>
      </c>
      <c r="C44" s="2" t="inlineStr">
        <is>
          <t>C — وارداتی</t>
        </is>
      </c>
      <c r="D44" s="2" t="inlineStr">
        <is>
          <t>بررسی‌نشده</t>
        </is>
      </c>
      <c r="E44" s="2" t="n">
        <v>0</v>
      </c>
      <c r="F44" s="2" t="n">
        <v>0</v>
      </c>
      <c r="G44" s="2" t="inlineStr">
        <is>
          <t>—</t>
        </is>
      </c>
      <c r="H44" s="2" t="inlineStr">
        <is>
          <t>نامشخص</t>
        </is>
      </c>
      <c r="I44" s="2" t="inlineStr">
        <is>
          <t>بررسی‌نشده</t>
        </is>
      </c>
      <c r="J44" s="2" t="inlineStr">
        <is>
          <t>هیچ جست‌وجوی اختصاصی انجام نشد</t>
        </is>
      </c>
    </row>
    <row r="45">
      <c r="A45" s="2" t="inlineStr">
        <is>
          <t>BR-044</t>
        </is>
      </c>
      <c r="B45" s="2" t="inlineStr">
        <is>
          <t>SsangYong (KGM)</t>
        </is>
      </c>
      <c r="C45" s="2" t="inlineStr">
        <is>
          <t>C — وارداتی</t>
        </is>
      </c>
      <c r="D45" s="2" t="inlineStr">
        <is>
          <t>بررسی‌نشده</t>
        </is>
      </c>
      <c r="E45" s="2" t="n">
        <v>0</v>
      </c>
      <c r="F45" s="2" t="n">
        <v>0</v>
      </c>
      <c r="G45" s="2" t="inlineStr">
        <is>
          <t>—</t>
        </is>
      </c>
      <c r="H45" s="2" t="inlineStr">
        <is>
          <t>نامشخص</t>
        </is>
      </c>
      <c r="I45" s="2" t="inlineStr">
        <is>
          <t>بررسی‌نشده</t>
        </is>
      </c>
      <c r="J45" s="2" t="inlineStr">
        <is>
          <t>هیچ جست‌وجوی اختصاصی انجام نشد</t>
        </is>
      </c>
    </row>
    <row r="46">
      <c r="A46" s="2" t="inlineStr">
        <is>
          <t>BR-045</t>
        </is>
      </c>
      <c r="B46" s="2" t="inlineStr">
        <is>
          <t>MG</t>
        </is>
      </c>
      <c r="C46" s="2" t="inlineStr">
        <is>
          <t>C — وارداتی</t>
        </is>
      </c>
      <c r="D46" s="2" t="inlineStr">
        <is>
          <t>بررسی‌نشده</t>
        </is>
      </c>
      <c r="E46" s="2" t="n">
        <v>0</v>
      </c>
      <c r="F46" s="2" t="n">
        <v>0</v>
      </c>
      <c r="G46" s="2" t="inlineStr">
        <is>
          <t>—</t>
        </is>
      </c>
      <c r="H46" s="2" t="inlineStr">
        <is>
          <t>نامشخص</t>
        </is>
      </c>
      <c r="I46" s="2" t="inlineStr">
        <is>
          <t>بررسی‌نشده</t>
        </is>
      </c>
      <c r="J46" s="2" t="inlineStr">
        <is>
          <t>هیچ جست‌وجوی اختصاصی انجام نشد</t>
        </is>
      </c>
    </row>
    <row r="47">
      <c r="A47" s="2" t="inlineStr">
        <is>
          <t>BR-046</t>
        </is>
      </c>
      <c r="B47" s="2" t="inlineStr">
        <is>
          <t>Jetour (برند اصلی)</t>
        </is>
      </c>
      <c r="C47" s="2" t="inlineStr">
        <is>
          <t>C — وارداتی</t>
        </is>
      </c>
      <c r="D47" s="2" t="inlineStr">
        <is>
          <t>بررسی انجام شده؛ کمپین پیدا شد</t>
        </is>
      </c>
      <c r="E47" s="2" t="n">
        <v>3</v>
      </c>
      <c r="F47" s="2" t="n">
        <v>4</v>
      </c>
      <c r="G47" s="2" t="inlineStr">
        <is>
          <t>جست‌وجوی وب (فارسی/انگلیسی) — رسانه‌های خبری و تخصصی</t>
        </is>
      </c>
      <c r="H47" s="3" t="n">
        <v>46305</v>
      </c>
      <c r="I47" s="2" t="inlineStr">
        <is>
          <t>صفحات منبع مستقیم باز نشدند؛ فقط خلاصه نتایج موتور جست‌وجو</t>
        </is>
      </c>
      <c r="J47" s="2" t="inlineStr">
        <is>
          <t>وب‌سایت رسمی، اینستاگرام/تلگرام/آپارات و کتابخانه‌های تبلیغاتی بررسی نشدند (عدم دسترسی)؛ شواهد خلاقه (تصویر/ویدئو) و آژانس یافت نشد</t>
        </is>
      </c>
    </row>
    <row r="48">
      <c r="A48" s="2" t="inlineStr">
        <is>
          <t>BR-047</t>
        </is>
      </c>
      <c r="B48" s="2" t="inlineStr">
        <is>
          <t>Mars (طبق اطلاعیه اتونوین)</t>
        </is>
      </c>
      <c r="C48" s="2" t="inlineStr">
        <is>
          <t>C — وارداتی</t>
        </is>
      </c>
      <c r="D48" s="2" t="inlineStr">
        <is>
          <t>بررسی ناقص به دلیل محدودیت منابع</t>
        </is>
      </c>
      <c r="E48" s="2" t="n">
        <v>1</v>
      </c>
      <c r="F48" s="2" t="n">
        <v>3</v>
      </c>
      <c r="G48" s="2" t="inlineStr">
        <is>
          <t>جست‌وجوی وب (فارسی/انگلیسی) — رسانه‌های خبری و تخصصی</t>
        </is>
      </c>
      <c r="H48" s="3" t="n">
        <v>46305</v>
      </c>
      <c r="I48" s="2" t="inlineStr">
        <is>
          <t>صفحات منبع مستقیم باز نشدند؛ فقط خلاصه نتایج موتور جست‌وجو</t>
        </is>
      </c>
      <c r="J48" s="2" t="inlineStr">
        <is>
          <t>وب‌سایت رسمی، اینستاگرام/تلگرام/آپارات و کتابخانه‌های تبلیغاتی بررسی نشدند (عدم دسترسی)؛ شواهد خلاقه (تصویر/ویدئو) و آژانس یافت نشد</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54"/>
  <sheetViews>
    <sheetView rightToLeft="1" workbookViewId="0">
      <selection activeCell="A1" sqref="A1"/>
    </sheetView>
  </sheetViews>
  <sheetFormatPr baseColWidth="8" defaultRowHeight="15"/>
  <cols>
    <col width="42" customWidth="1" min="1" max="1"/>
    <col width="12" customWidth="1" min="2" max="2"/>
  </cols>
  <sheetData>
    <row r="1">
      <c r="A1" s="9" t="inlineStr">
        <is>
          <t>داشبورد مدیریتی — کمپین‌های خودرویی ایران (۱۸ مهر ۱۴۰۴ تا ۱۸ مهر ۱۴۰۵)</t>
        </is>
      </c>
    </row>
    <row r="2">
      <c r="A2" s="8" t="inlineStr">
        <is>
          <t>تاریخ اجرا: 2026-10-10 — پیش‌نویس تحقیق؛ پوشش ناقص (به شیت 09 مراجعه کنید)</t>
        </is>
      </c>
    </row>
    <row r="4">
      <c r="A4" s="6" t="inlineStr">
        <is>
          <t>شاخص</t>
        </is>
      </c>
      <c r="B4" s="6" t="inlineStr">
        <is>
          <t>مقدار</t>
        </is>
      </c>
    </row>
    <row r="5">
      <c r="A5" s="8" t="inlineStr">
        <is>
          <t>تعداد برندهای فهرست مادر</t>
        </is>
      </c>
      <c r="B5" s="5">
        <f>COUNTA('01_Master_Brands'!A2:A200)</f>
        <v/>
      </c>
    </row>
    <row r="6">
      <c r="A6" s="8" t="inlineStr">
        <is>
          <t>برندهای دارای کمپین/رویداد مستند</t>
        </is>
      </c>
      <c r="B6" s="5">
        <f>COUNTIF('01_Master_Brands'!L2:L200,"&gt;0")</f>
        <v/>
      </c>
    </row>
    <row r="7">
      <c r="A7" s="8" t="inlineStr">
        <is>
          <t>کل رکوردهای ثبت‌شده (شامل اکوسیستم)</t>
        </is>
      </c>
      <c r="B7" s="5">
        <f>COUNTA('02_Campaigns'!A2:A55)</f>
        <v/>
      </c>
    </row>
    <row r="8">
      <c r="A8" s="8" t="inlineStr">
        <is>
          <t>کمپین‌های تبلیغاتی/ترویجی</t>
        </is>
      </c>
      <c r="B8" s="5">
        <f>COUNTIF('02_Campaigns'!B2:B55,"کمپین تبلیغاتی/ترویجی")</f>
        <v/>
      </c>
    </row>
    <row r="9">
      <c r="A9" s="8" t="inlineStr">
        <is>
          <t>کمپین‌های نمایشگاهی/رویدادی</t>
        </is>
      </c>
      <c r="B9" s="5">
        <f>COUNTIF('02_Campaigns'!B2:B55,"کمپین نمایشگاهی/رویدادی")</f>
        <v/>
      </c>
    </row>
    <row r="10">
      <c r="A10" s="8" t="inlineStr">
        <is>
          <t>طرح‌های فروش (مرز با کمپین)</t>
        </is>
      </c>
      <c r="B10" s="5">
        <f>COUNTIF('02_Campaigns'!B2:B55,"طرح فروش (فعالیت فروش؛ مرز با کمپین)")</f>
        <v/>
      </c>
    </row>
    <row r="11">
      <c r="A11" s="8" t="inlineStr">
        <is>
          <t>رکوردهای اکوسیستم (خارج از جامعه)</t>
        </is>
      </c>
      <c r="B11" s="5">
        <f>COUNTIF('02_Campaigns'!B2:B55,"اکوسیستم مرتبط (خارج از جامعه برند)")</f>
        <v/>
      </c>
    </row>
    <row r="12">
      <c r="A12" s="8" t="inlineStr">
        <is>
          <t>رکوردهای «تأییدشده»</t>
        </is>
      </c>
      <c r="B12" s="5">
        <f>COUNTIF('02_Campaigns'!Z2:Z55,"تأییدشده*")</f>
        <v/>
      </c>
    </row>
    <row r="13">
      <c r="A13" s="8" t="inlineStr">
        <is>
          <t>رکوردهای «نیازمند تأیید»</t>
        </is>
      </c>
      <c r="B13" s="5">
        <f>COUNTIF('02_Campaigns'!Z2:Z55,"نیازمند تأیید*")</f>
        <v/>
      </c>
    </row>
    <row r="14">
      <c r="A14" s="8" t="inlineStr">
        <is>
          <t>اطمینان High</t>
        </is>
      </c>
      <c r="B14" s="5">
        <f>COUNTIF('02_Campaigns'!AA2:AA55,"High")</f>
        <v/>
      </c>
    </row>
    <row r="15">
      <c r="A15" s="8" t="inlineStr">
        <is>
          <t>اطمینان Medium</t>
        </is>
      </c>
      <c r="B15" s="5">
        <f>COUNTIF('02_Campaigns'!AA2:AA55,"Medium")</f>
        <v/>
      </c>
    </row>
    <row r="16">
      <c r="A16" s="8" t="inlineStr">
        <is>
          <t>اطمینان Low</t>
        </is>
      </c>
      <c r="B16" s="5">
        <f>COUNTIF('02_Campaigns'!AA2:AA55,"Low")</f>
        <v/>
      </c>
    </row>
    <row r="17">
      <c r="A17" s="8" t="inlineStr">
        <is>
          <t>منابع/شواهد ثبت‌شده</t>
        </is>
      </c>
      <c r="B17" s="5">
        <f>COUNTA('03_Evidence_Sources'!A2:A500)</f>
        <v/>
      </c>
    </row>
    <row r="18">
      <c r="A18" s="8" t="inlineStr">
        <is>
          <t>کمپین‌های دارای آژانس شناسایی‌شده</t>
        </is>
      </c>
      <c r="B18" s="5">
        <f>COUNTIFS('02_Campaigns'!U2:U55,"&lt;&gt;نامشخص")</f>
        <v/>
      </c>
    </row>
    <row r="21">
      <c r="A21" s="5" t="inlineStr">
        <is>
          <t>کمپین/رویداد مستند به تفکیک دسته بازار</t>
        </is>
      </c>
    </row>
    <row r="22">
      <c r="A22" s="8" t="inlineStr">
        <is>
          <t>A — خودروساز داخلی</t>
        </is>
      </c>
      <c r="B22" s="8" t="n">
        <v>7</v>
      </c>
    </row>
    <row r="23">
      <c r="A23" s="8" t="inlineStr">
        <is>
          <t>B — مونتاژی</t>
        </is>
      </c>
      <c r="B23" s="8" t="n">
        <v>10</v>
      </c>
    </row>
    <row r="24">
      <c r="A24" s="8" t="inlineStr">
        <is>
          <t>C — وارداتی</t>
        </is>
      </c>
      <c r="B24" s="8" t="n">
        <v>11</v>
      </c>
    </row>
    <row r="27">
      <c r="A27" s="5" t="inlineStr">
        <is>
          <t>برندها بر اساس تعداد کمپین/رویداد مستند (بدون طرح فروش)</t>
        </is>
      </c>
    </row>
    <row r="28">
      <c r="A28" s="8" t="inlineStr">
        <is>
          <t>ایران خودرو (IKCO) — تارا، ری‌را، دنا، سورن، پژو ۲۰۷</t>
        </is>
      </c>
      <c r="B28" s="8" t="n">
        <v>4</v>
      </c>
    </row>
    <row r="29">
      <c r="A29" s="8" t="inlineStr">
        <is>
          <t>Tisan (ری‌بج Jetour)</t>
        </is>
      </c>
      <c r="B29" s="8" t="n">
        <v>3</v>
      </c>
    </row>
    <row r="30">
      <c r="A30" s="8" t="inlineStr">
        <is>
          <t>سایپا — شاهین، آریا، اطلس، ساینا، کوییک، ۱۵۱</t>
        </is>
      </c>
      <c r="B30" s="8" t="n">
        <v>2</v>
      </c>
    </row>
    <row r="31">
      <c r="A31" s="8" t="inlineStr">
        <is>
          <t>ایکو پرمیوم / سفیر (زیربرند ایران خودرو)</t>
        </is>
      </c>
      <c r="B31" s="8" t="n">
        <v>2</v>
      </c>
    </row>
    <row r="32">
      <c r="A32" s="8" t="inlineStr">
        <is>
          <t>Mazda</t>
        </is>
      </c>
      <c r="B32" s="8" t="n">
        <v>2</v>
      </c>
    </row>
    <row r="33">
      <c r="A33" s="8" t="inlineStr">
        <is>
          <t>Hyundai</t>
        </is>
      </c>
      <c r="B33" s="8" t="n">
        <v>2</v>
      </c>
    </row>
    <row r="34">
      <c r="A34" s="8" t="inlineStr">
        <is>
          <t>Fidelity / Dignity / Respect (برندهای گروه بهمن)</t>
        </is>
      </c>
      <c r="B34" s="8" t="n">
        <v>2</v>
      </c>
    </row>
    <row r="35">
      <c r="A35" s="8" t="inlineStr">
        <is>
          <t>ERES (SERES) / AITO</t>
        </is>
      </c>
      <c r="B35" s="8" t="n">
        <v>2</v>
      </c>
    </row>
    <row r="36">
      <c r="A36" s="8" t="inlineStr">
        <is>
          <t>Volvo</t>
        </is>
      </c>
      <c r="B36" s="8" t="n">
        <v>1</v>
      </c>
    </row>
    <row r="37">
      <c r="A37" s="8" t="inlineStr">
        <is>
          <t>Renault</t>
        </is>
      </c>
      <c r="B37" s="8" t="n">
        <v>1</v>
      </c>
    </row>
    <row r="38">
      <c r="A38" s="8" t="inlineStr">
        <is>
          <t>Opel</t>
        </is>
      </c>
      <c r="B38" s="8" t="n">
        <v>1</v>
      </c>
    </row>
    <row r="39">
      <c r="A39" s="8" t="inlineStr">
        <is>
          <t>Nissan</t>
        </is>
      </c>
      <c r="B39" s="8" t="n">
        <v>1</v>
      </c>
    </row>
    <row r="42">
      <c r="A42" s="5" t="inlineStr">
        <is>
          <t>رکوردها بر حسب نوع</t>
        </is>
      </c>
    </row>
    <row r="43">
      <c r="A43" s="8" t="inlineStr">
        <is>
          <t>کمپین تبلیغاتی/ترویجی</t>
        </is>
      </c>
      <c r="B43" s="8">
        <f>COUNTIF('02_Campaigns'!B2:B55,A43)</f>
        <v/>
      </c>
    </row>
    <row r="44">
      <c r="A44" s="8" t="inlineStr">
        <is>
          <t>کمپین نمایشگاهی/رویدادی</t>
        </is>
      </c>
      <c r="B44" s="8">
        <f>COUNTIF('02_Campaigns'!B2:B55,A44)</f>
        <v/>
      </c>
    </row>
    <row r="45">
      <c r="A45" s="8" t="inlineStr">
        <is>
          <t>طرح فروش (فعالیت فروش؛ مرز با کمپین)</t>
        </is>
      </c>
      <c r="B45" s="8">
        <f>COUNTIF('02_Campaigns'!B2:B55,A45)</f>
        <v/>
      </c>
    </row>
    <row r="46">
      <c r="A46" s="8" t="inlineStr">
        <is>
          <t>اکوسیستم مرتبط (خارج از جامعه برند)</t>
        </is>
      </c>
      <c r="B46" s="8">
        <f>COUNTIF('02_Campaigns'!B2:B55,A46)</f>
        <v/>
      </c>
    </row>
    <row r="49">
      <c r="A49" s="8" t="inlineStr">
        <is>
          <t>یافته کلیدی ۱: پررنگ‌ترین شاهد فعالیت تبلیغاتی دوره، هفتمین نمایشگاه خودرو تهران (۲۲-۲۶ شهریور ۱۴۰۵) است که از بهمن ۱۴۰۴ به تعویق افتاده بود.</t>
        </is>
      </c>
    </row>
    <row r="50">
      <c r="A50" s="8" t="inlineStr">
        <is>
          <t>یافته کلیدی ۲: بخش بزرگ ارتباطات بازاریابی خودروسازان در قالب بخشنامه‌های فروش با پیام «بدون قرعه‌کشی / قیمت قطعی / تحویل ۳۰ روزه» دیده می‌شود.</t>
        </is>
      </c>
    </row>
    <row r="51">
      <c r="A51" s="8" t="inlineStr">
        <is>
          <t>یافته کلیدی ۳: برای هیچ کمپین خودروسازی آژانس خلاقه، بودجه یا شاخص عملکرد عمومی پیدا نشد.</t>
        </is>
      </c>
    </row>
    <row r="52">
      <c r="A52" s="8" t="inlineStr">
        <is>
          <t>یافته فاز ۲: تنها کمپین شبکه اجتماعی مستند، مسابقه ریلز اینستاگرامی ایران خودرو در نمایشگاه تهران (۱۷۵ میلیون تومان جایزه) است (CMP-049).</t>
        </is>
      </c>
    </row>
    <row r="53">
      <c r="A53" s="8" t="inlineStr">
        <is>
          <t>یافته کلیدی ۴: تنها شواهد خلاقه OOH مستند در دوره مربوط به بازیگران اکوسیستم (خودرو۴۵، کاسپین) است، نه خودروسازان.</t>
        </is>
      </c>
    </row>
    <row r="54">
      <c r="A54" s="8" t="inlineStr">
        <is>
          <t>هشدار: صفحات منبع مستقیماً باز نشدند؛ شبکه‌های اجتماعی و سایت‌های رسمی ایرانی از محیط اجرا در دسترس نبودند.</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B18"/>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40" customWidth="1" min="2" max="2"/>
  </cols>
  <sheetData>
    <row r="1" ht="36" customHeight="1">
      <c r="A1" s="1" t="inlineStr">
        <is>
          <t>موضوع</t>
        </is>
      </c>
      <c r="B1" s="1" t="inlineStr">
        <is>
          <t>شرح</t>
        </is>
      </c>
    </row>
    <row r="2">
      <c r="A2" s="2" t="inlineStr">
        <is>
          <t>بازه تحقیق</t>
        </is>
      </c>
      <c r="B2" s="2" t="inlineStr">
        <is>
          <t>۱۰ اکتبر ۲۰۲۵ (۱۸ مهر ۱۴۰۴) تا ۱۰ اکتبر ۲۰۲۶ (۱۸ مهر ۱۴۰۵)</t>
        </is>
      </c>
    </row>
    <row r="3">
      <c r="A3" s="2" t="inlineStr">
        <is>
          <t>تاریخ اجرا</t>
        </is>
      </c>
      <c r="B3" s="2" t="inlineStr">
        <is>
          <t>2026-10-10</t>
        </is>
      </c>
    </row>
    <row r="4">
      <c r="A4" s="2" t="inlineStr">
        <is>
          <t>ابزارهای واقعاً استفاده‌شده</t>
        </is>
      </c>
      <c r="B4" s="2" t="inlineStr">
        <is>
          <t>ابزار جست‌وجوی وب (حدود ۴۵ جست‌وجوی فارسی و انگلیسی، با حالت extended برای اغلب پرسش‌ها). خروجی این ابزار عنوان، URL و خلاصه متنی نتایج است.</t>
        </is>
      </c>
    </row>
    <row r="5">
      <c r="A5" s="2" t="inlineStr">
        <is>
          <t>ابزارهای ناموفق</t>
        </is>
      </c>
      <c r="B5" s="2" t="inlineStr">
        <is>
          <t>WebFetch: دامنه‌های ایرانی resolve نشدند (ENOTFOUND). curl مستقیم: timeout. Browser Control (browser-use): daemon بالا نیامد. بنابراین هیچ صفحه‌ای مستقیماً باز نشد و هیچ اسکرین‌شات یا رسانه‌ای ذخیره نشد.</t>
        </is>
      </c>
    </row>
    <row r="6">
      <c r="A6" s="2" t="inlineStr">
        <is>
          <t>منابع بررسی‌نشده</t>
        </is>
      </c>
      <c r="B6" s="2" t="inlineStr">
        <is>
          <t>وب‌سایت‌های رسمی خودروسازان، اینستاگرام، تلگرام، آپارات، یوتیوب، ایتا، Meta Ad Library/Google Ads Transparency، آرشیو وب، نمونه‌کار آژانس‌ها.</t>
        </is>
      </c>
    </row>
    <row r="7">
      <c r="A7" s="2" t="inlineStr">
        <is>
          <t>تعریف رکوردها</t>
        </is>
      </c>
      <c r="B7" s="2" t="inlineStr">
        <is>
          <t>«کمپین تبلیغاتی/ترویجی»: فعالیت ترویجی/ارتباطی با هدف بازاریابی. «کمپین نمایشگاهی/رویدادی»: حضور/رونمایی در نمایشگاه یا رویداد. «طرح فروش (فعالیت فروش؛ مرز با کمپین)»: بخشنامه/طرح فروش که فعالیت فروش عادی است و فقط در صورت شواهد ترویجی مستقل کمپین محسوب می‌شود. «اکوسیستم مرتبط (خارج از جامعه برند)»: بازیگران غیرخودروساز (پلتفرم، روانکار) برای مقایسه خلاقه.</t>
        </is>
      </c>
    </row>
    <row r="8">
      <c r="A8" s="2" t="inlineStr">
        <is>
          <t>دسته‌بندی کمپین</t>
        </is>
      </c>
      <c r="B8" s="2" t="inlineStr">
        <is>
          <t>۱۲ دسته دستورالعمل (آگاهی، رونمایی، فروش، پیش‌فروش، تخفیف/اقساط، OOH، سوشال/اینفلوئنسر، ویدئو/TV، روابط عمومی، نمایشگاه، پس از فروش، مسئولیت اجتماعی).</t>
        </is>
      </c>
    </row>
    <row r="9">
      <c r="A9" s="2" t="inlineStr">
        <is>
          <t>قواعد تاریخ</t>
        </is>
      </c>
      <c r="B9" s="2" t="inlineStr">
        <is>
          <t>تاریخ اجرا از تاریخ انتشار جدا ثبت شده است. تاریخ میلادی فقط وقتی پر شده که روز مشخص در منبع آمده باشد؛ تبدیل شمسی به میلادی با تقویم رسمی (۱ فروردین ۱۴۰۵ = ۲۱ مارس ۲۰۲۶). موارد شروع‌شده پیش از بازه فقط در صورت ادامه در بازه ثبت شده‌اند.</t>
        </is>
      </c>
    </row>
    <row r="10">
      <c r="A10" s="2" t="inlineStr">
        <is>
          <t>سطح اطمینان</t>
        </is>
      </c>
      <c r="B10" s="2" t="inlineStr">
        <is>
          <t>High: شاهد رسمی مستقیم (در این اجرا هیچ موردی، چون صفحات باز نشدند). Medium: دو یا چند منبع مستقل هم‌راستا در نتایج. Low: یک منبع، خلاصه ناقص یا تاریخ نامطمئن.</t>
        </is>
      </c>
    </row>
    <row r="11">
      <c r="A11" s="2" t="inlineStr">
        <is>
          <t>انتساب</t>
        </is>
      </c>
      <c r="B11" s="2" t="inlineStr">
        <is>
          <t>برند، شرکت عرضه‌کننده، واردکننده و پلتفرم شناسه مستقل دارند (BR-/CO-). مثال: تیسان (BR-021) برند تیگارد موتور (CO-009) و ری‌بج Jetour (BR-046) است، نه ایران خودرو.</t>
        </is>
      </c>
    </row>
    <row r="12">
      <c r="A12" s="2" t="inlineStr">
        <is>
          <t>حذف تکرار</t>
        </is>
      </c>
      <c r="B12" s="2" t="inlineStr">
        <is>
          <t>گزارش‌های متعدد درباره یک رویداد به یک رکورد متصل شده‌اند (مثلاً رونمایی تیسان: سه منبع ← CMP-032).</t>
        </is>
      </c>
    </row>
    <row r="13">
      <c r="A13" s="2" t="inlineStr">
        <is>
          <t>بودجه و عملکرد</t>
        </is>
      </c>
      <c r="B13" s="2" t="inlineStr">
        <is>
          <t>برای هیچ رکوردی داده عمومی قابل اتکا پیدا نشد؛ هیچ تخمینی ساخته نشده است.</t>
        </is>
      </c>
    </row>
    <row r="14">
      <c r="A14" s="2" t="inlineStr">
        <is>
          <t>زمینه دوره</t>
        </is>
      </c>
      <c r="B14" s="2" t="inlineStr">
        <is>
          <t>اختلال اینترنت و افت شدید تبلیغات محیطی و سوشال پس از دی ۱۴۰۴ (EV-001، فقط عنوان)؛ جنگ از اواخر فوریه ۲۰۲۶ و تعویق نمایشگاه تهران (EV-005)؛ توقف تبلیغ خودرو در تلویزیون (EV-002، تاریخ نامشخص).</t>
        </is>
      </c>
    </row>
    <row r="15">
      <c r="A15" s="2" t="inlineStr">
        <is>
          <t>وضعیت پروژه</t>
        </is>
      </c>
      <c r="B15" s="2" t="inlineStr">
        <is>
          <t>پیش‌نویس اول. ادعای جامعیت نمی‌شود. «کمپین پیدا نشد» به معنای «کمپینی اجرا نشده» نیست.</t>
        </is>
      </c>
    </row>
    <row r="16">
      <c r="A16" s="2" t="inlineStr">
        <is>
          <t>گام‌های بعدی پیشنهادی</t>
        </is>
      </c>
      <c r="B16" s="2" t="inlineStr">
        <is>
          <t>۱) اجرای مجدد از محیطی با دسترسی به دامنه‌های ایرانی و مرورگر؛ ۲) بررسی اینستاگرام/آپارات رسمی هر برند؛ ۳) پایش میدانی/عکس بیلبوردهای تهران؛ ۴) مصاحبه با آژانس‌ها و رسانه‌فروشان محیطی؛ ۵) تکمیل برندهای «بررسی‌نشده».</t>
        </is>
      </c>
    </row>
    <row r="17">
      <c r="A17" s="2" t="inlineStr">
        <is>
          <t>فاز ۲ (۲۰۲۶-۱۰-۱۰)</t>
        </is>
      </c>
      <c r="B17" s="2" t="inlineStr">
        <is>
          <t>تعمیق برای ۱۰ بازیگر پرفعالیت فاز ۱ (شیت 10). دسترسی به دامنه‌های ایرانی، اینستاگرام، آپارات و مرورگر دوباره آزموده شد و همچنان ناموفق بود؛ ۱۶ جست‌وجوی هدفمند (اینستاگرام/آپارات/رونمایی/فروش) اجرا شد و ۳۲ شاهد جدید (EV-120 تا EV-151) افزوده شد.</t>
        </is>
      </c>
    </row>
    <row r="18">
      <c r="A18" s="2" t="inlineStr">
        <is>
          <t>ادغام و اصلاح در فاز ۲</t>
        </is>
      </c>
      <c r="B18" s="2" t="inlineStr">
        <is>
          <t>CMP-007 (معرفی آریانو) با CMP-006 ادغام شد چون همان مراسم ۳۱ شهریور ۱۴۰۵ است. CMP-034 (تیسان S05) از طرح فروش به رویداد رونمایی ارتقا یافت. انتساب «اینووی/شوال» به غرفه ایران خودرو در CMP-011 مشکوک علامت خورد. نیسان قشقایی دو کانال عرضه دارد (نامی خودرو و آرینا درایو).</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1"/>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22" customWidth="1" min="3" max="3"/>
    <col width="12" customWidth="1" min="4" max="4"/>
    <col width="12" customWidth="1" min="5" max="5"/>
    <col width="12" customWidth="1" min="6" max="6"/>
    <col width="10" customWidth="1" min="7" max="7"/>
    <col width="10" customWidth="1" min="8" max="8"/>
    <col width="40" customWidth="1" min="9" max="9"/>
    <col width="34" customWidth="1" min="10" max="10"/>
    <col width="40" customWidth="1" min="11" max="11"/>
  </cols>
  <sheetData>
    <row r="1" ht="36" customHeight="1">
      <c r="A1" s="1" t="inlineStr">
        <is>
          <t>رتبه</t>
        </is>
      </c>
      <c r="B1" s="1" t="inlineStr">
        <is>
          <t>بازیگر</t>
        </is>
      </c>
      <c r="C1" s="1" t="inlineStr">
        <is>
          <t>Brand_IDs</t>
        </is>
      </c>
      <c r="D1" s="1" t="inlineStr">
        <is>
          <t>کمپین/رویداد فاز ۱</t>
        </is>
      </c>
      <c r="E1" s="1" t="inlineStr">
        <is>
          <t>کمپین/رویداد پس از فاز ۲</t>
        </is>
      </c>
      <c r="F1" s="1" t="inlineStr">
        <is>
          <t>طرح فروش پس از فاز ۲</t>
        </is>
      </c>
      <c r="G1" s="1" t="inlineStr">
        <is>
          <t>جست‌وجوی فاز ۲</t>
        </is>
      </c>
      <c r="H1" s="1" t="inlineStr">
        <is>
          <t>شواهد جدید</t>
        </is>
      </c>
      <c r="I1" s="1" t="inlineStr">
        <is>
          <t>Evidence_IDs جدید</t>
        </is>
      </c>
      <c r="J1" s="1" t="inlineStr">
        <is>
          <t>رکوردهای افزوده/به‌روزشده</t>
        </is>
      </c>
      <c r="K1" s="1" t="inlineStr">
        <is>
          <t>کانال‌های مسدود</t>
        </is>
      </c>
    </row>
    <row r="2">
      <c r="A2" s="2" t="n">
        <v>1</v>
      </c>
      <c r="B2" s="2" t="inlineStr">
        <is>
          <t>سایپا</t>
        </is>
      </c>
      <c r="C2" s="2" t="inlineStr">
        <is>
          <t>BR-003;BR-004;BR-005</t>
        </is>
      </c>
      <c r="D2" s="2" t="n">
        <v>3</v>
      </c>
      <c r="E2" s="2" t="n">
        <v>2</v>
      </c>
      <c r="F2" s="2" t="n">
        <v>5</v>
      </c>
      <c r="G2" s="2" t="n">
        <v>3</v>
      </c>
      <c r="H2" s="2" t="n">
        <v>6</v>
      </c>
      <c r="I2" s="2" t="inlineStr">
        <is>
          <t>EV-120;EV-121;EV-122;EV-123;EV-124;EV-125</t>
        </is>
      </c>
      <c r="J2" s="2" t="inlineStr">
        <is>
          <t>CMP-006;CMP-050</t>
        </is>
      </c>
      <c r="K2" s="2" t="inlineStr">
        <is>
          <t>اینستاگرام، آپارات، وب‌سایت رسمی و کتابخانه تبلیغات: دسترسی نبود (فقط جست‌وجوی وب)</t>
        </is>
      </c>
    </row>
    <row r="3">
      <c r="A3" s="2" t="n">
        <v>2</v>
      </c>
      <c r="B3" s="2" t="inlineStr">
        <is>
          <t>ایران خودرو (شامل ایکو پرمیوم/سفیر)</t>
        </is>
      </c>
      <c r="C3" s="2" t="inlineStr">
        <is>
          <t>BR-001;BR-002</t>
        </is>
      </c>
      <c r="D3" s="2" t="n">
        <v>3</v>
      </c>
      <c r="E3" s="2" t="n">
        <v>5</v>
      </c>
      <c r="F3" s="2" t="n">
        <v>2</v>
      </c>
      <c r="G3" s="2" t="n">
        <v>3</v>
      </c>
      <c r="H3" s="2" t="n">
        <v>4</v>
      </c>
      <c r="I3" s="2" t="inlineStr">
        <is>
          <t>EV-126;EV-127;EV-128;EV-129</t>
        </is>
      </c>
      <c r="J3" s="2" t="inlineStr">
        <is>
          <t>CMP-015;CMP-049</t>
        </is>
      </c>
      <c r="K3" s="2" t="inlineStr">
        <is>
          <t>اینستاگرام، آپارات، وب‌سایت رسمی و کتابخانه تبلیغات: دسترسی نبود (فقط جست‌وجوی وب)</t>
        </is>
      </c>
    </row>
    <row r="4">
      <c r="A4" s="2" t="n">
        <v>3</v>
      </c>
      <c r="B4" s="2" t="inlineStr">
        <is>
          <t>تیگارد موتور (تیسان)</t>
        </is>
      </c>
      <c r="C4" s="2" t="inlineStr">
        <is>
          <t>BR-021;BR-046</t>
        </is>
      </c>
      <c r="D4" s="2" t="n">
        <v>2</v>
      </c>
      <c r="E4" s="2" t="n">
        <v>3</v>
      </c>
      <c r="F4" s="2" t="n">
        <v>0</v>
      </c>
      <c r="G4" s="2" t="n">
        <v>2</v>
      </c>
      <c r="H4" s="2" t="n">
        <v>6</v>
      </c>
      <c r="I4" s="2" t="inlineStr">
        <is>
          <t>EV-130;EV-131;EV-132;EV-133;EV-134;EV-135</t>
        </is>
      </c>
      <c r="J4" s="2" t="inlineStr">
        <is>
          <t>CMP-032;CMP-033;CMP-034</t>
        </is>
      </c>
      <c r="K4" s="2" t="inlineStr">
        <is>
          <t>اینستاگرام، آپارات، وب‌سایت رسمی و کتابخانه تبلیغات: دسترسی نبود (فقط جست‌وجوی وب)</t>
        </is>
      </c>
    </row>
    <row r="5">
      <c r="A5" s="2" t="n">
        <v>4</v>
      </c>
      <c r="B5" s="2" t="inlineStr">
        <is>
          <t>ماموت خودرو (رنو، ERES/آیتو)</t>
        </is>
      </c>
      <c r="C5" s="2" t="inlineStr">
        <is>
          <t>BR-016;BR-017</t>
        </is>
      </c>
      <c r="D5" s="2" t="n">
        <v>2</v>
      </c>
      <c r="E5" s="2" t="n">
        <v>2</v>
      </c>
      <c r="F5" s="2" t="n">
        <v>1</v>
      </c>
      <c r="G5" s="2" t="n">
        <v>1</v>
      </c>
      <c r="H5" s="2" t="n">
        <v>3</v>
      </c>
      <c r="I5" s="2" t="inlineStr">
        <is>
          <t>EV-136;EV-137;EV-138</t>
        </is>
      </c>
      <c r="J5" s="2" t="inlineStr">
        <is>
          <t>CMP-051</t>
        </is>
      </c>
      <c r="K5" s="2" t="inlineStr">
        <is>
          <t>اینستاگرام، آپارات، وب‌سایت رسمی و کتابخانه تبلیغات: دسترسی نبود (فقط جست‌وجوی وب)</t>
        </is>
      </c>
    </row>
    <row r="6">
      <c r="A6" s="2" t="n">
        <v>5</v>
      </c>
      <c r="B6" s="2" t="inlineStr">
        <is>
          <t>گروه بهمن (فیدلیتی/دیگنیتی/ریسپکت، شوال)</t>
        </is>
      </c>
      <c r="C6" s="2" t="inlineStr">
        <is>
          <t>BR-013;BR-015</t>
        </is>
      </c>
      <c r="D6" s="2" t="n">
        <v>2</v>
      </c>
      <c r="E6" s="2" t="n">
        <v>2</v>
      </c>
      <c r="F6" s="2" t="n">
        <v>3</v>
      </c>
      <c r="G6" s="2" t="n">
        <v>1</v>
      </c>
      <c r="H6" s="2" t="n">
        <v>3</v>
      </c>
      <c r="I6" s="2" t="inlineStr">
        <is>
          <t>EV-139;EV-140;EV-141</t>
        </is>
      </c>
      <c r="J6" s="2" t="inlineStr">
        <is>
          <t>CMP-028</t>
        </is>
      </c>
      <c r="K6" s="2" t="inlineStr">
        <is>
          <t>اینستاگرام، آپارات، وب‌سایت رسمی و کتابخانه تبلیغات: دسترسی نبود (فقط جست‌وجوی وب)</t>
        </is>
      </c>
    </row>
    <row r="7">
      <c r="A7" s="2" t="n">
        <v>6</v>
      </c>
      <c r="B7" s="2" t="inlineStr">
        <is>
          <t>Mazda (آفتاب خودرو / معین خودرو)</t>
        </is>
      </c>
      <c r="C7" s="2" t="inlineStr">
        <is>
          <t>BR-028</t>
        </is>
      </c>
      <c r="D7" s="2" t="n">
        <v>2</v>
      </c>
      <c r="E7" s="2" t="n">
        <v>2</v>
      </c>
      <c r="F7" s="2" t="n">
        <v>0</v>
      </c>
      <c r="G7" s="2" t="n">
        <v>1</v>
      </c>
      <c r="H7" s="2" t="n">
        <v>1</v>
      </c>
      <c r="I7" s="2" t="inlineStr">
        <is>
          <t>EV-142</t>
        </is>
      </c>
      <c r="J7" s="2" t="inlineStr">
        <is>
          <t>CMP-040</t>
        </is>
      </c>
      <c r="K7" s="2" t="inlineStr">
        <is>
          <t>اینستاگرام، آپارات، وب‌سایت رسمی و کتابخانه تبلیغات: دسترسی نبود (فقط جست‌وجوی وب)</t>
        </is>
      </c>
    </row>
    <row r="8">
      <c r="A8" s="2" t="n">
        <v>7</v>
      </c>
      <c r="B8" s="2" t="inlineStr">
        <is>
          <t>Hyundai/Kia (هرمس خودرو / کرمان موتور)</t>
        </is>
      </c>
      <c r="C8" s="2" t="inlineStr">
        <is>
          <t>BR-011;BR-012</t>
        </is>
      </c>
      <c r="D8" s="2" t="n">
        <v>2</v>
      </c>
      <c r="E8" s="2" t="n">
        <v>2</v>
      </c>
      <c r="F8" s="2" t="n">
        <v>4</v>
      </c>
      <c r="G8" s="2" t="n">
        <v>2</v>
      </c>
      <c r="H8" s="2" t="n">
        <v>3</v>
      </c>
      <c r="I8" s="2" t="inlineStr">
        <is>
          <t>EV-148;EV-149;EV-150</t>
        </is>
      </c>
      <c r="J8" s="2" t="inlineStr">
        <is>
          <t>CMP-053</t>
        </is>
      </c>
      <c r="K8" s="2" t="inlineStr">
        <is>
          <t>اینستاگرام، آپارات، وب‌سایت رسمی و کتابخانه تبلیغات: دسترسی نبود (فقط جست‌وجوی وب)</t>
        </is>
      </c>
    </row>
    <row r="9">
      <c r="A9" s="2" t="n">
        <v>8</v>
      </c>
      <c r="B9" s="2" t="inlineStr">
        <is>
          <t>Volvo (آفتاب خودرو)</t>
        </is>
      </c>
      <c r="C9" s="2" t="inlineStr">
        <is>
          <t>BR-029</t>
        </is>
      </c>
      <c r="D9" s="2" t="n">
        <v>1</v>
      </c>
      <c r="E9" s="2" t="n">
        <v>1</v>
      </c>
      <c r="F9" s="2" t="n">
        <v>0</v>
      </c>
      <c r="G9" s="2" t="n">
        <v>1</v>
      </c>
      <c r="H9" s="2" t="n">
        <v>1</v>
      </c>
      <c r="I9" s="2" t="inlineStr">
        <is>
          <t>EV-142</t>
        </is>
      </c>
      <c r="J9" s="2" t="inlineStr">
        <is>
          <t>CMP-040</t>
        </is>
      </c>
      <c r="K9" s="2" t="inlineStr">
        <is>
          <t>اینستاگرام، آپارات، وب‌سایت رسمی و کتابخانه تبلیغات: دسترسی نبود (فقط جست‌وجوی وب)</t>
        </is>
      </c>
    </row>
    <row r="10">
      <c r="A10" s="2" t="n">
        <v>9</v>
      </c>
      <c r="B10" s="2" t="inlineStr">
        <is>
          <t>Opel (سیکاس خودرو)</t>
        </is>
      </c>
      <c r="C10" s="2" t="inlineStr">
        <is>
          <t>BR-027</t>
        </is>
      </c>
      <c r="D10" s="2" t="n">
        <v>1</v>
      </c>
      <c r="E10" s="2" t="n">
        <v>1</v>
      </c>
      <c r="F10" s="2" t="n">
        <v>0</v>
      </c>
      <c r="G10" s="2" t="n">
        <v>1</v>
      </c>
      <c r="H10" s="2" t="n">
        <v>3</v>
      </c>
      <c r="I10" s="2" t="inlineStr">
        <is>
          <t>EV-143;EV-144;EV-145</t>
        </is>
      </c>
      <c r="J10" s="2" t="inlineStr">
        <is>
          <t>CMP-039</t>
        </is>
      </c>
      <c r="K10" s="2" t="inlineStr">
        <is>
          <t>اینستاگرام، آپارات، وب‌سایت رسمی و کتابخانه تبلیغات: دسترسی نبود (فقط جست‌وجوی وب)</t>
        </is>
      </c>
    </row>
    <row r="11">
      <c r="A11" s="2" t="n">
        <v>10</v>
      </c>
      <c r="B11" s="2" t="inlineStr">
        <is>
          <t>Nissan (نامی خودرو / آرینا درایو)</t>
        </is>
      </c>
      <c r="C11" s="2" t="inlineStr">
        <is>
          <t>BR-026</t>
        </is>
      </c>
      <c r="D11" s="2" t="n">
        <v>1</v>
      </c>
      <c r="E11" s="2" t="n">
        <v>1</v>
      </c>
      <c r="F11" s="2" t="n">
        <v>1</v>
      </c>
      <c r="G11" s="2" t="n">
        <v>1</v>
      </c>
      <c r="H11" s="2" t="n">
        <v>2</v>
      </c>
      <c r="I11" s="2" t="inlineStr">
        <is>
          <t>EV-146;EV-147</t>
        </is>
      </c>
      <c r="J11" s="2" t="inlineStr">
        <is>
          <t>CMP-052</t>
        </is>
      </c>
      <c r="K11" s="2" t="inlineStr">
        <is>
          <t>اینستاگرام، آپارات، وب‌سایت رسمی و کتابخانه تبلیغات: دسترسی نبود (فقط جست‌وجوی وب)</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2026-10-10T06:34:59Z</dcterms:created>
  <dcterms:modified xmlns:dcterms="http://purl.org/dc/terms/" xmlns:xsi="http://www.w3.org/2001/XMLSchema-instance" xsi:type="dcterms:W3CDTF">2026-10-10T06:35:00Z</dcterms:modified>
</cp:coreProperties>
</file>